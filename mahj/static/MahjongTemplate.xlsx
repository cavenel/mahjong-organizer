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8100" tabRatio="600" firstSheet="0" activeTab="0" autoFilterDateGrouping="1"/>
  </bookViews>
  <sheets>
    <sheet name="Options" sheetId="1" state="visible" r:id="rId1"/>
    <sheet name="Players" sheetId="2" state="visible" r:id="rId2"/>
    <sheet name="Schedule" sheetId="3" state="visible" r:id="rId3"/>
    <sheet name="16 players" sheetId="4" state="visible" r:id="rId4"/>
    <sheet name="20 players" sheetId="5" state="visible" r:id="rId5"/>
    <sheet name="24 players" sheetId="6" state="visible" r:id="rId6"/>
    <sheet name="28 players" sheetId="7" state="visible" r:id="rId7"/>
    <sheet name="32 players" sheetId="8" state="visible" r:id="rId8"/>
    <sheet name="36 players" sheetId="9" state="visible" r:id="rId9"/>
    <sheet name="40 players" sheetId="10" state="visible" r:id="rId10"/>
    <sheet name="44 players" sheetId="11" state="visible" r:id="rId11"/>
    <sheet name="48 players" sheetId="12" state="visible" r:id="rId12"/>
    <sheet name="52 players" sheetId="13" state="visible" r:id="rId13"/>
    <sheet name="56 players" sheetId="14" state="visible" r:id="rId14"/>
    <sheet name="60 players" sheetId="15" state="visible" r:id="rId15"/>
    <sheet name="64 players" sheetId="16" state="visible" r:id="rId16"/>
    <sheet name="68 players" sheetId="17" state="visible" r:id="rId17"/>
    <sheet name="72 players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0" fontId="0" fillId="0" borderId="0" pivotButton="0" quotePrefix="0" xfId="0"/>
  </cellXfs>
  <cellStyles count="2">
    <cellStyle name="Normal" xfId="0" builtinId="0"/>
    <cellStyle name="Neutr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B5" sqref="B5"/>
    </sheetView>
  </sheetViews>
  <sheetFormatPr baseColWidth="8" defaultColWidth="0" defaultRowHeight="15" zeroHeight="0"/>
  <cols>
    <col width="29.7109375" customWidth="1" style="1" min="1" max="1"/>
    <col width="87.85546875" customWidth="1" style="3" min="2" max="2"/>
    <col hidden="1" width="9.140625" customWidth="1" min="3" max="16384"/>
  </cols>
  <sheetData>
    <row r="1">
      <c r="A1" s="2" t="inlineStr">
        <is>
          <t>Competition name</t>
        </is>
      </c>
      <c r="B1" s="3" t="inlineStr">
        <is>
          <t>Swedish Open MCR Mahjong Championship 2024</t>
        </is>
      </c>
    </row>
    <row r="2">
      <c r="A2" s="2" t="inlineStr">
        <is>
          <t>Short name (initials)</t>
        </is>
      </c>
      <c r="B2" s="3" t="inlineStr">
        <is>
          <t>SOMMC2024</t>
        </is>
      </c>
    </row>
    <row r="3">
      <c r="A3" s="2" t="inlineStr">
        <is>
          <t>Number of rounds</t>
        </is>
      </c>
      <c r="B3" s="3" t="n">
        <v>7</v>
      </c>
    </row>
    <row r="4">
      <c r="A4" s="1" t="inlineStr">
        <is>
          <t>City</t>
        </is>
      </c>
      <c r="B4" s="3" t="inlineStr">
        <is>
          <t>Uppsala</t>
        </is>
      </c>
    </row>
    <row r="5">
      <c r="A5" s="1" t="inlineStr">
        <is>
          <t>Period</t>
        </is>
      </c>
      <c r="B5" s="3" t="inlineStr">
        <is>
          <t>15-16 June 2024</t>
        </is>
      </c>
    </row>
    <row r="6">
      <c r="A6" s="1" t="inlineStr">
        <is>
          <t>Rules</t>
        </is>
      </c>
      <c r="B6" s="3" t="inlineStr">
        <is>
          <t>MCR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2" sqref="C2"/>
    </sheetView>
  </sheetViews>
  <sheetFormatPr baseColWidth="8" defaultColWidth="0" defaultRowHeight="15" zeroHeight="0"/>
  <cols>
    <col width="27.7109375" customWidth="1" style="3" min="1" max="3"/>
    <col width="40.42578125" customWidth="1" style="3" min="4" max="4"/>
    <col width="40.42578125" customWidth="1" min="5" max="5"/>
    <col width="40.42578125" customWidth="1" min="6" max="6"/>
  </cols>
  <sheetData>
    <row r="1" customFormat="1" s="2">
      <c r="A1" s="2" t="inlineStr">
        <is>
          <t>Last name</t>
        </is>
      </c>
      <c r="B1" t="inlineStr">
        <is>
          <t>First name</t>
        </is>
      </c>
      <c r="C1" s="2" t="inlineStr">
        <is>
          <t>EMA number</t>
        </is>
      </c>
      <c r="D1" s="2" t="inlineStr">
        <is>
          <t>Country</t>
        </is>
      </c>
      <c r="E1" s="2" t="inlineStr">
        <is>
          <t>Team name (optional)</t>
        </is>
      </c>
      <c r="F1" t="inlineStr">
        <is>
          <t>Random position (1 - # of players)</t>
        </is>
      </c>
    </row>
  </sheetData>
  <dataValidations count="1">
    <dataValidation sqref="D2:XFD72" showDropDown="0" showInputMessage="1" showErrorMessage="1" allowBlank="1" type="custom">
      <formula1>COUNTIF($E:$E,D2)&lt;2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ColWidth="0" defaultRowHeight="15"/>
  <cols>
    <col width="21.85546875" bestFit="1" customWidth="1" min="1" max="1"/>
    <col width="16.42578125" customWidth="1" min="2" max="2"/>
    <col width="23" customWidth="1" min="3" max="3"/>
    <col width="10" customWidth="1" min="4" max="4"/>
  </cols>
  <sheetData>
    <row r="1" customFormat="1" s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Is round</t>
        </is>
      </c>
    </row>
    <row r="2">
      <c r="A2" t="inlineStr">
        <is>
          <t>Saturday 24 Sep.</t>
        </is>
      </c>
      <c r="B2" t="inlineStr">
        <is>
          <t>08:45 – 09:15</t>
        </is>
      </c>
      <c r="C2" t="inlineStr">
        <is>
          <t>Registration and info</t>
        </is>
      </c>
      <c r="D2" t="b">
        <v>0</v>
      </c>
    </row>
    <row r="3">
      <c r="A3" t="inlineStr">
        <is>
          <t>Saturday 24 Sep.</t>
        </is>
      </c>
      <c r="B3" t="inlineStr">
        <is>
          <t>09:15 – 11:10</t>
        </is>
      </c>
      <c r="C3" t="inlineStr">
        <is>
          <t>Round 1</t>
        </is>
      </c>
      <c r="D3" t="b">
        <v>1</v>
      </c>
    </row>
    <row r="4">
      <c r="A4" t="inlineStr">
        <is>
          <t>Saturday 24 Sep.</t>
        </is>
      </c>
      <c r="B4" s="4" t="inlineStr">
        <is>
          <t>11:10 – 11:35</t>
        </is>
      </c>
      <c r="C4" t="inlineStr">
        <is>
          <t>Coffee break</t>
        </is>
      </c>
      <c r="D4" t="b">
        <v>0</v>
      </c>
    </row>
    <row r="5">
      <c r="A5" t="inlineStr">
        <is>
          <t>Saturday 24 Sep.</t>
        </is>
      </c>
      <c r="B5" t="inlineStr">
        <is>
          <t>11:35 – 13:30</t>
        </is>
      </c>
      <c r="C5" t="inlineStr">
        <is>
          <t>Round 2</t>
        </is>
      </c>
      <c r="D5" t="b">
        <v>1</v>
      </c>
    </row>
    <row r="6">
      <c r="A6" t="inlineStr">
        <is>
          <t>Saturday 24 Sep.</t>
        </is>
      </c>
      <c r="B6" t="inlineStr">
        <is>
          <t>13:30 – 14:55</t>
        </is>
      </c>
      <c r="C6" t="inlineStr">
        <is>
          <t>Lunch</t>
        </is>
      </c>
      <c r="D6" t="b">
        <v>0</v>
      </c>
    </row>
    <row r="7">
      <c r="A7" t="inlineStr">
        <is>
          <t>Saturday 24 Sep.</t>
        </is>
      </c>
      <c r="B7" t="inlineStr">
        <is>
          <t>14:55 – 16:50</t>
        </is>
      </c>
      <c r="C7" t="inlineStr">
        <is>
          <t>Round 3</t>
        </is>
      </c>
      <c r="D7" t="b">
        <v>1</v>
      </c>
    </row>
    <row r="8">
      <c r="A8" t="inlineStr">
        <is>
          <t>Saturday 24 Sep.</t>
        </is>
      </c>
      <c r="B8" t="inlineStr">
        <is>
          <t>16:50 – 17:15</t>
        </is>
      </c>
      <c r="C8" t="inlineStr">
        <is>
          <t>Coffee break</t>
        </is>
      </c>
      <c r="D8" t="b">
        <v>0</v>
      </c>
    </row>
    <row r="9">
      <c r="A9" t="inlineStr">
        <is>
          <t>Saturday 24 Sep.</t>
        </is>
      </c>
      <c r="B9" t="inlineStr">
        <is>
          <t>17:15 – 19:10</t>
        </is>
      </c>
      <c r="C9" t="inlineStr">
        <is>
          <t>Round 4</t>
        </is>
      </c>
      <c r="D9" t="b">
        <v>1</v>
      </c>
    </row>
    <row r="10">
      <c r="A10" t="inlineStr">
        <is>
          <t>Sunday 25 Sep.</t>
        </is>
      </c>
      <c r="B10" t="inlineStr">
        <is>
          <t>09:00 – 09:15</t>
        </is>
      </c>
      <c r="C10" t="inlineStr">
        <is>
          <t>Registration day 2</t>
        </is>
      </c>
      <c r="D10" t="b">
        <v>0</v>
      </c>
    </row>
    <row r="11">
      <c r="A11" t="inlineStr">
        <is>
          <t>Sunday 25 Sep.</t>
        </is>
      </c>
      <c r="B11" t="inlineStr">
        <is>
          <t>09:15 – 11:10</t>
        </is>
      </c>
      <c r="C11" t="inlineStr">
        <is>
          <t>Round 5</t>
        </is>
      </c>
      <c r="D11" t="b">
        <v>1</v>
      </c>
    </row>
    <row r="12">
      <c r="A12" t="inlineStr">
        <is>
          <t>Sunday 25 Sep.</t>
        </is>
      </c>
      <c r="B12" t="inlineStr">
        <is>
          <t>11:10 – 11:35</t>
        </is>
      </c>
      <c r="C12" t="inlineStr">
        <is>
          <t>Coffee break</t>
        </is>
      </c>
      <c r="D12" t="b">
        <v>0</v>
      </c>
    </row>
    <row r="13">
      <c r="A13" t="inlineStr">
        <is>
          <t>Sunday 25 Sep.</t>
        </is>
      </c>
      <c r="B13" t="inlineStr">
        <is>
          <t>11:35 – 13:30</t>
        </is>
      </c>
      <c r="C13" t="inlineStr">
        <is>
          <t>Round 6</t>
        </is>
      </c>
      <c r="D13" t="b">
        <v>1</v>
      </c>
    </row>
    <row r="14">
      <c r="A14" t="inlineStr">
        <is>
          <t>Sunday 25 Sep.</t>
        </is>
      </c>
      <c r="B14" t="inlineStr">
        <is>
          <t>13:30 – 14:55</t>
        </is>
      </c>
      <c r="C14" t="inlineStr">
        <is>
          <t>Lunch</t>
        </is>
      </c>
      <c r="D14" t="b">
        <v>0</v>
      </c>
    </row>
    <row r="15">
      <c r="A15" t="inlineStr">
        <is>
          <t>Sunday 25 Sep.</t>
        </is>
      </c>
      <c r="B15" t="inlineStr">
        <is>
          <t>14:55 – 16:50</t>
        </is>
      </c>
      <c r="C15" t="inlineStr">
        <is>
          <t>Round 7</t>
        </is>
      </c>
      <c r="D15" t="b">
        <v>1</v>
      </c>
    </row>
    <row r="16">
      <c r="A16" t="inlineStr">
        <is>
          <t>Sunday 25 Sep.</t>
        </is>
      </c>
      <c r="B16" t="inlineStr">
        <is>
          <t>16:50 – 17:15</t>
        </is>
      </c>
      <c r="C16" t="inlineStr">
        <is>
          <t>Coffee break</t>
        </is>
      </c>
      <c r="D16" t="b">
        <v>0</v>
      </c>
    </row>
    <row r="17">
      <c r="A17" t="inlineStr">
        <is>
          <t>Sunday 25 Sep.</t>
        </is>
      </c>
      <c r="B17" t="inlineStr">
        <is>
          <t>17:15 – 17:30</t>
        </is>
      </c>
      <c r="C17" t="inlineStr">
        <is>
          <t>Award Ceremony</t>
        </is>
      </c>
      <c r="D1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Normal="100" workbookViewId="0">
      <selection activeCell="A1" sqref="A1"/>
    </sheetView>
  </sheetViews>
  <sheetFormatPr baseColWidth="8" defaultColWidth="4.8554687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</row>
    <row r="3">
      <c r="A3" t="inlineStr">
        <is>
          <t>R1</t>
        </is>
      </c>
      <c r="B3" t="n">
        <v>11</v>
      </c>
      <c r="C3" t="n">
        <v>12</v>
      </c>
      <c r="D3" t="n">
        <v>9</v>
      </c>
      <c r="E3" t="n">
        <v>10</v>
      </c>
      <c r="G3" t="n">
        <v>16</v>
      </c>
      <c r="H3" t="n">
        <v>13</v>
      </c>
      <c r="I3" t="n">
        <v>14</v>
      </c>
      <c r="J3" t="n">
        <v>15</v>
      </c>
      <c r="L3" t="n">
        <v>1</v>
      </c>
      <c r="M3" t="n">
        <v>2</v>
      </c>
      <c r="N3" t="n">
        <v>4</v>
      </c>
      <c r="O3" t="n">
        <v>3</v>
      </c>
      <c r="Q3" t="n">
        <v>6</v>
      </c>
      <c r="R3" t="n">
        <v>7</v>
      </c>
      <c r="S3" t="n">
        <v>5</v>
      </c>
      <c r="T3" t="n">
        <v>8</v>
      </c>
    </row>
    <row r="4">
      <c r="A4" t="inlineStr">
        <is>
          <t>R2</t>
        </is>
      </c>
      <c r="B4" t="n">
        <v>4</v>
      </c>
      <c r="C4" t="n">
        <v>16</v>
      </c>
      <c r="D4" t="n">
        <v>12</v>
      </c>
      <c r="E4" t="n">
        <v>8</v>
      </c>
      <c r="G4" t="n">
        <v>15</v>
      </c>
      <c r="H4" t="n">
        <v>3</v>
      </c>
      <c r="I4" t="n">
        <v>7</v>
      </c>
      <c r="J4" t="n">
        <v>11</v>
      </c>
      <c r="L4" t="n">
        <v>10</v>
      </c>
      <c r="M4" t="n">
        <v>2</v>
      </c>
      <c r="N4" t="n">
        <v>6</v>
      </c>
      <c r="O4" t="n">
        <v>14</v>
      </c>
      <c r="Q4" t="n">
        <v>5</v>
      </c>
      <c r="R4" t="n">
        <v>13</v>
      </c>
      <c r="S4" t="n">
        <v>9</v>
      </c>
      <c r="T4" t="n">
        <v>1</v>
      </c>
    </row>
    <row r="5">
      <c r="A5" t="inlineStr">
        <is>
          <t>R3</t>
        </is>
      </c>
      <c r="B5" t="n">
        <v>11</v>
      </c>
      <c r="C5" t="n">
        <v>6</v>
      </c>
      <c r="D5" t="n">
        <v>1</v>
      </c>
      <c r="E5" t="n">
        <v>16</v>
      </c>
      <c r="G5" t="n">
        <v>7</v>
      </c>
      <c r="H5" t="n">
        <v>10</v>
      </c>
      <c r="I5" t="n">
        <v>13</v>
      </c>
      <c r="J5" t="n">
        <v>4</v>
      </c>
      <c r="L5" t="n">
        <v>3</v>
      </c>
      <c r="M5" t="n">
        <v>8</v>
      </c>
      <c r="N5" t="n">
        <v>14</v>
      </c>
      <c r="O5" t="n">
        <v>9</v>
      </c>
      <c r="Q5" t="n">
        <v>12</v>
      </c>
      <c r="R5" t="n">
        <v>15</v>
      </c>
      <c r="S5" t="n">
        <v>2</v>
      </c>
      <c r="T5" t="n">
        <v>5</v>
      </c>
    </row>
    <row r="6">
      <c r="A6" t="inlineStr">
        <is>
          <t>R4</t>
        </is>
      </c>
      <c r="B6" t="n">
        <v>14</v>
      </c>
      <c r="C6" t="n">
        <v>1</v>
      </c>
      <c r="D6" t="n">
        <v>7</v>
      </c>
      <c r="E6" t="n">
        <v>12</v>
      </c>
      <c r="G6" t="n">
        <v>2</v>
      </c>
      <c r="H6" t="n">
        <v>11</v>
      </c>
      <c r="I6" t="n">
        <v>8</v>
      </c>
      <c r="J6" t="n">
        <v>13</v>
      </c>
      <c r="L6" t="n">
        <v>5</v>
      </c>
      <c r="M6" t="n">
        <v>10</v>
      </c>
      <c r="N6" t="n">
        <v>16</v>
      </c>
      <c r="O6" t="n">
        <v>3</v>
      </c>
      <c r="Q6" t="n">
        <v>9</v>
      </c>
      <c r="R6" t="n">
        <v>4</v>
      </c>
      <c r="S6" t="n">
        <v>15</v>
      </c>
      <c r="T6" t="n">
        <v>6</v>
      </c>
    </row>
    <row r="7">
      <c r="A7" t="inlineStr">
        <is>
          <t>R5</t>
        </is>
      </c>
      <c r="B7" t="n">
        <v>4</v>
      </c>
      <c r="C7" t="n">
        <v>5</v>
      </c>
      <c r="D7" t="n">
        <v>11</v>
      </c>
      <c r="E7" t="n">
        <v>14</v>
      </c>
      <c r="G7" t="n">
        <v>1</v>
      </c>
      <c r="H7" t="n">
        <v>8</v>
      </c>
      <c r="I7" t="n">
        <v>10</v>
      </c>
      <c r="J7" t="n">
        <v>15</v>
      </c>
      <c r="L7" t="n">
        <v>7</v>
      </c>
      <c r="M7" t="n">
        <v>16</v>
      </c>
      <c r="N7" t="n">
        <v>2</v>
      </c>
      <c r="O7" t="n">
        <v>9</v>
      </c>
      <c r="Q7" t="n">
        <v>12</v>
      </c>
      <c r="R7" t="n">
        <v>6</v>
      </c>
      <c r="S7" t="n">
        <v>3</v>
      </c>
      <c r="T7" t="n">
        <v>13</v>
      </c>
    </row>
    <row r="8">
      <c r="A8" t="inlineStr">
        <is>
          <t>R6</t>
        </is>
      </c>
      <c r="B8" t="n">
        <v>3</v>
      </c>
      <c r="C8" t="n">
        <v>4</v>
      </c>
      <c r="D8" t="n">
        <v>5</v>
      </c>
      <c r="E8" t="n">
        <v>6</v>
      </c>
      <c r="G8" t="n">
        <v>8</v>
      </c>
      <c r="H8" t="n">
        <v>9</v>
      </c>
      <c r="I8" t="n">
        <v>16</v>
      </c>
      <c r="J8" t="n">
        <v>7</v>
      </c>
      <c r="L8" t="n">
        <v>13</v>
      </c>
      <c r="M8" t="n">
        <v>14</v>
      </c>
      <c r="N8" t="n">
        <v>11</v>
      </c>
      <c r="O8" t="n">
        <v>12</v>
      </c>
      <c r="Q8" t="n">
        <v>2</v>
      </c>
      <c r="R8" t="n">
        <v>15</v>
      </c>
      <c r="S8" t="n">
        <v>10</v>
      </c>
      <c r="T8" t="n">
        <v>1</v>
      </c>
    </row>
    <row r="9">
      <c r="A9" t="inlineStr">
        <is>
          <t>R7</t>
        </is>
      </c>
      <c r="B9" t="n">
        <v>6</v>
      </c>
      <c r="C9" t="n">
        <v>9</v>
      </c>
      <c r="D9" t="n">
        <v>13</v>
      </c>
      <c r="E9" t="n">
        <v>2</v>
      </c>
      <c r="G9" t="n">
        <v>16</v>
      </c>
      <c r="H9" t="n">
        <v>12</v>
      </c>
      <c r="I9" t="n">
        <v>1</v>
      </c>
      <c r="J9" t="n">
        <v>5</v>
      </c>
      <c r="L9" t="n">
        <v>8</v>
      </c>
      <c r="M9" t="n">
        <v>11</v>
      </c>
      <c r="N9" t="n">
        <v>15</v>
      </c>
      <c r="O9" t="n">
        <v>4</v>
      </c>
      <c r="Q9" t="n">
        <v>10</v>
      </c>
      <c r="R9" t="n">
        <v>14</v>
      </c>
      <c r="S9" t="n">
        <v>3</v>
      </c>
      <c r="T9" t="n">
        <v>7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selection activeCell="A1" sqref="A1"/>
    </sheetView>
  </sheetViews>
  <sheetFormatPr baseColWidth="8" defaultColWidth="9.1406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5.7109375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5.7109375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5.7109375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5.7109375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</row>
    <row r="3">
      <c r="A3" t="inlineStr">
        <is>
          <t>R1</t>
        </is>
      </c>
      <c r="B3" t="n">
        <v>1</v>
      </c>
      <c r="C3">
        <f>10+1</f>
        <v/>
      </c>
      <c r="D3" t="n">
        <v>16</v>
      </c>
      <c r="E3" t="n">
        <v>6</v>
      </c>
      <c r="G3" t="n">
        <v>5</v>
      </c>
      <c r="H3" t="n">
        <v>10</v>
      </c>
      <c r="I3" t="n">
        <v>15</v>
      </c>
      <c r="J3" t="n">
        <v>20</v>
      </c>
      <c r="L3" t="n">
        <v>4</v>
      </c>
      <c r="M3" t="n">
        <v>9</v>
      </c>
      <c r="N3">
        <f>10+4</f>
        <v/>
      </c>
      <c r="O3" t="n">
        <v>19</v>
      </c>
      <c r="Q3" t="n">
        <v>18</v>
      </c>
      <c r="R3" t="n">
        <v>3</v>
      </c>
      <c r="S3">
        <f>10+3</f>
        <v/>
      </c>
      <c r="T3" t="n">
        <v>8</v>
      </c>
      <c r="V3" t="n">
        <v>2</v>
      </c>
      <c r="W3" t="n">
        <v>17</v>
      </c>
      <c r="X3">
        <f>10+2</f>
        <v/>
      </c>
      <c r="Y3" t="n">
        <v>7</v>
      </c>
    </row>
    <row r="4">
      <c r="A4" t="inlineStr">
        <is>
          <t>R2</t>
        </is>
      </c>
      <c r="B4" t="n">
        <v>9</v>
      </c>
      <c r="C4">
        <f>10+3</f>
        <v/>
      </c>
      <c r="D4" t="n">
        <v>17</v>
      </c>
      <c r="E4" t="n">
        <v>5</v>
      </c>
      <c r="G4" t="n">
        <v>8</v>
      </c>
      <c r="H4">
        <f>10+2</f>
        <v/>
      </c>
      <c r="I4" t="n">
        <v>16</v>
      </c>
      <c r="J4" t="n">
        <v>4</v>
      </c>
      <c r="L4" t="n">
        <v>7</v>
      </c>
      <c r="M4">
        <f>10+1</f>
        <v/>
      </c>
      <c r="N4" t="n">
        <v>20</v>
      </c>
      <c r="O4" t="n">
        <v>3</v>
      </c>
      <c r="Q4" t="n">
        <v>6</v>
      </c>
      <c r="R4" t="n">
        <v>15</v>
      </c>
      <c r="S4" t="n">
        <v>19</v>
      </c>
      <c r="T4" t="n">
        <v>2</v>
      </c>
      <c r="V4" t="n">
        <v>10</v>
      </c>
      <c r="W4">
        <f>10+4</f>
        <v/>
      </c>
      <c r="X4" t="n">
        <v>18</v>
      </c>
      <c r="Y4" t="n">
        <v>1</v>
      </c>
    </row>
    <row r="5">
      <c r="A5" t="inlineStr">
        <is>
          <t>R3</t>
        </is>
      </c>
      <c r="B5" t="n">
        <v>15</v>
      </c>
      <c r="C5" t="n">
        <v>18</v>
      </c>
      <c r="D5" t="n">
        <v>4</v>
      </c>
      <c r="E5" t="n">
        <v>7</v>
      </c>
      <c r="G5">
        <f>10+4</f>
        <v/>
      </c>
      <c r="H5" t="n">
        <v>17</v>
      </c>
      <c r="I5" t="n">
        <v>3</v>
      </c>
      <c r="J5" t="n">
        <v>6</v>
      </c>
      <c r="L5">
        <f>10+3</f>
        <v/>
      </c>
      <c r="M5" t="n">
        <v>16</v>
      </c>
      <c r="N5" t="n">
        <v>2</v>
      </c>
      <c r="O5" t="n">
        <v>10</v>
      </c>
      <c r="Q5">
        <f>10+2</f>
        <v/>
      </c>
      <c r="R5" t="n">
        <v>20</v>
      </c>
      <c r="S5" t="n">
        <v>1</v>
      </c>
      <c r="T5" t="n">
        <v>9</v>
      </c>
      <c r="V5">
        <f>10+1</f>
        <v/>
      </c>
      <c r="W5" t="n">
        <v>19</v>
      </c>
      <c r="X5" t="n">
        <v>5</v>
      </c>
      <c r="Y5" t="n">
        <v>8</v>
      </c>
    </row>
    <row r="6">
      <c r="A6" t="inlineStr">
        <is>
          <t>R4</t>
        </is>
      </c>
      <c r="B6" t="n">
        <v>19</v>
      </c>
      <c r="C6" t="n">
        <v>3</v>
      </c>
      <c r="D6" t="n">
        <v>10</v>
      </c>
      <c r="E6">
        <f>10+2</f>
        <v/>
      </c>
      <c r="G6" t="n">
        <v>18</v>
      </c>
      <c r="H6" t="n">
        <v>2</v>
      </c>
      <c r="I6" t="n">
        <v>9</v>
      </c>
      <c r="J6">
        <f>10+1</f>
        <v/>
      </c>
      <c r="L6" t="n">
        <v>17</v>
      </c>
      <c r="M6" t="n">
        <v>1</v>
      </c>
      <c r="N6" t="n">
        <v>8</v>
      </c>
      <c r="O6" t="n">
        <v>15</v>
      </c>
      <c r="Q6" t="n">
        <v>16</v>
      </c>
      <c r="R6" t="n">
        <v>5</v>
      </c>
      <c r="S6" t="n">
        <v>7</v>
      </c>
      <c r="T6">
        <f>10+4</f>
        <v/>
      </c>
      <c r="V6" t="n">
        <v>20</v>
      </c>
      <c r="W6" t="n">
        <v>4</v>
      </c>
      <c r="X6" t="n">
        <v>6</v>
      </c>
      <c r="Y6">
        <f>10+3</f>
        <v/>
      </c>
    </row>
    <row r="7">
      <c r="A7" t="inlineStr">
        <is>
          <t>R5</t>
        </is>
      </c>
      <c r="B7" t="n">
        <v>2</v>
      </c>
      <c r="C7" t="n">
        <v>8</v>
      </c>
      <c r="D7" t="n">
        <v>20</v>
      </c>
      <c r="E7">
        <f>10+4</f>
        <v/>
      </c>
      <c r="G7" t="n">
        <v>7</v>
      </c>
      <c r="H7">
        <f>10+3</f>
        <v/>
      </c>
      <c r="I7" t="n">
        <v>1</v>
      </c>
      <c r="J7" t="n">
        <v>19</v>
      </c>
      <c r="L7" t="n">
        <v>5</v>
      </c>
      <c r="M7" t="n">
        <v>6</v>
      </c>
      <c r="N7">
        <f>10+2</f>
        <v/>
      </c>
      <c r="O7" t="n">
        <v>18</v>
      </c>
      <c r="Q7" t="n">
        <v>4</v>
      </c>
      <c r="R7" t="n">
        <v>10</v>
      </c>
      <c r="S7">
        <f>10+1</f>
        <v/>
      </c>
      <c r="T7" t="n">
        <v>17</v>
      </c>
      <c r="V7" t="n">
        <v>3</v>
      </c>
      <c r="W7" t="n">
        <v>9</v>
      </c>
      <c r="X7" t="n">
        <v>15</v>
      </c>
      <c r="Y7" t="n">
        <v>16</v>
      </c>
    </row>
    <row r="8">
      <c r="A8" t="inlineStr">
        <is>
          <t>R6</t>
        </is>
      </c>
      <c r="B8" t="n">
        <v>1</v>
      </c>
      <c r="C8" t="n">
        <v>2</v>
      </c>
      <c r="D8" t="n">
        <v>3</v>
      </c>
      <c r="E8" t="n">
        <v>18</v>
      </c>
      <c r="G8" t="n">
        <v>20</v>
      </c>
      <c r="H8" t="n">
        <v>8</v>
      </c>
      <c r="I8" t="n">
        <v>17</v>
      </c>
      <c r="J8" t="n">
        <v>5</v>
      </c>
      <c r="L8" t="n">
        <v>14</v>
      </c>
      <c r="M8" t="n">
        <v>6</v>
      </c>
      <c r="N8" t="n">
        <v>9</v>
      </c>
      <c r="O8" t="n">
        <v>15</v>
      </c>
      <c r="Q8" t="n">
        <v>16</v>
      </c>
      <c r="R8" t="n">
        <v>19</v>
      </c>
      <c r="S8" t="n">
        <v>7</v>
      </c>
      <c r="T8" t="n">
        <v>10</v>
      </c>
      <c r="V8" t="n">
        <v>12</v>
      </c>
      <c r="W8" t="n">
        <v>4</v>
      </c>
      <c r="X8" t="n">
        <v>13</v>
      </c>
      <c r="Y8" t="n">
        <v>11</v>
      </c>
    </row>
    <row r="9">
      <c r="A9" t="inlineStr">
        <is>
          <t>R7</t>
        </is>
      </c>
      <c r="B9" t="n">
        <v>6</v>
      </c>
      <c r="C9" t="n">
        <v>7</v>
      </c>
      <c r="D9" t="n">
        <v>8</v>
      </c>
      <c r="E9" t="n">
        <v>13</v>
      </c>
      <c r="G9" t="n">
        <v>3</v>
      </c>
      <c r="H9" t="n">
        <v>12</v>
      </c>
      <c r="I9" t="n">
        <v>10</v>
      </c>
      <c r="J9" t="n">
        <v>9</v>
      </c>
      <c r="L9" t="n">
        <v>19</v>
      </c>
      <c r="M9" t="n">
        <v>1</v>
      </c>
      <c r="N9" t="n">
        <v>4</v>
      </c>
      <c r="O9" t="n">
        <v>20</v>
      </c>
      <c r="Q9" t="n">
        <v>11</v>
      </c>
      <c r="R9" t="n">
        <v>14</v>
      </c>
      <c r="S9" t="n">
        <v>5</v>
      </c>
      <c r="T9" t="n">
        <v>2</v>
      </c>
      <c r="V9" t="n">
        <v>15</v>
      </c>
      <c r="W9" t="n">
        <v>16</v>
      </c>
      <c r="X9" t="n">
        <v>18</v>
      </c>
      <c r="Y9" t="n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"/>
  <sheetViews>
    <sheetView zoomScaleNormal="100" workbookViewId="0">
      <selection activeCell="A1" sqref="A1"/>
    </sheetView>
  </sheetViews>
  <sheetFormatPr baseColWidth="8" defaultColWidth="4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2</v>
      </c>
      <c r="D3" t="n">
        <v>21</v>
      </c>
      <c r="E3" t="n">
        <v>11</v>
      </c>
      <c r="G3" t="n">
        <v>9</v>
      </c>
      <c r="H3" t="n">
        <v>10</v>
      </c>
      <c r="I3" t="n">
        <v>19</v>
      </c>
      <c r="J3" t="n">
        <v>5</v>
      </c>
      <c r="L3" t="n">
        <v>17</v>
      </c>
      <c r="M3" t="n">
        <v>18</v>
      </c>
      <c r="N3" t="n">
        <v>3</v>
      </c>
      <c r="O3" t="n">
        <v>13</v>
      </c>
      <c r="Q3" t="n">
        <v>4</v>
      </c>
      <c r="R3" t="n">
        <v>7</v>
      </c>
      <c r="S3" t="n">
        <v>6</v>
      </c>
      <c r="T3" t="n">
        <v>24</v>
      </c>
      <c r="V3" t="n">
        <v>15</v>
      </c>
      <c r="W3" t="n">
        <v>8</v>
      </c>
      <c r="X3" t="n">
        <v>12</v>
      </c>
      <c r="Y3" t="n">
        <v>14</v>
      </c>
      <c r="AA3" t="n">
        <v>16</v>
      </c>
      <c r="AB3" t="n">
        <v>23</v>
      </c>
      <c r="AC3" t="n">
        <v>22</v>
      </c>
      <c r="AD3" t="n">
        <v>20</v>
      </c>
    </row>
    <row r="4">
      <c r="A4" t="inlineStr">
        <is>
          <t>R2</t>
        </is>
      </c>
      <c r="B4" t="n">
        <v>13</v>
      </c>
      <c r="C4" t="n">
        <v>15</v>
      </c>
      <c r="D4" t="n">
        <v>16</v>
      </c>
      <c r="E4" t="n">
        <v>2</v>
      </c>
      <c r="G4" t="n">
        <v>3</v>
      </c>
      <c r="H4" t="n">
        <v>12</v>
      </c>
      <c r="I4" t="n">
        <v>22</v>
      </c>
      <c r="J4" t="n">
        <v>1</v>
      </c>
      <c r="L4" t="n">
        <v>11</v>
      </c>
      <c r="M4" t="n">
        <v>20</v>
      </c>
      <c r="N4" t="n">
        <v>6</v>
      </c>
      <c r="O4" t="n">
        <v>9</v>
      </c>
      <c r="Q4" t="n">
        <v>19</v>
      </c>
      <c r="R4" t="n">
        <v>4</v>
      </c>
      <c r="S4" t="n">
        <v>14</v>
      </c>
      <c r="T4" t="n">
        <v>17</v>
      </c>
      <c r="V4" t="n">
        <v>7</v>
      </c>
      <c r="W4" t="n">
        <v>18</v>
      </c>
      <c r="X4" t="n">
        <v>5</v>
      </c>
      <c r="Y4" t="n">
        <v>8</v>
      </c>
      <c r="AA4" t="n">
        <v>21</v>
      </c>
      <c r="AB4" t="n">
        <v>23</v>
      </c>
      <c r="AC4" t="n">
        <v>24</v>
      </c>
      <c r="AD4" t="n">
        <v>10</v>
      </c>
    </row>
    <row r="5">
      <c r="A5" t="inlineStr">
        <is>
          <t>R3</t>
        </is>
      </c>
      <c r="B5" t="n">
        <v>14</v>
      </c>
      <c r="C5" t="n">
        <v>16</v>
      </c>
      <c r="D5" t="n">
        <v>10</v>
      </c>
      <c r="E5" t="n">
        <v>3</v>
      </c>
      <c r="G5" t="n">
        <v>22</v>
      </c>
      <c r="H5" t="n">
        <v>24</v>
      </c>
      <c r="I5" t="n">
        <v>18</v>
      </c>
      <c r="J5" t="n">
        <v>11</v>
      </c>
      <c r="L5" t="n">
        <v>23</v>
      </c>
      <c r="M5" t="n">
        <v>13</v>
      </c>
      <c r="N5" t="n">
        <v>4</v>
      </c>
      <c r="O5" t="n">
        <v>1</v>
      </c>
      <c r="Q5" t="n">
        <v>12</v>
      </c>
      <c r="R5" t="n">
        <v>21</v>
      </c>
      <c r="S5" t="n">
        <v>7</v>
      </c>
      <c r="T5" t="n">
        <v>9</v>
      </c>
      <c r="V5" t="n">
        <v>5</v>
      </c>
      <c r="W5" t="n">
        <v>15</v>
      </c>
      <c r="X5" t="n">
        <v>17</v>
      </c>
      <c r="Y5" t="n">
        <v>20</v>
      </c>
      <c r="AA5" t="n">
        <v>2</v>
      </c>
      <c r="AB5" t="n">
        <v>6</v>
      </c>
      <c r="AC5" t="n">
        <v>8</v>
      </c>
      <c r="AD5" t="n">
        <v>19</v>
      </c>
    </row>
    <row r="6">
      <c r="A6" t="inlineStr">
        <is>
          <t>R4</t>
        </is>
      </c>
      <c r="B6" t="n">
        <v>3</v>
      </c>
      <c r="C6" t="n">
        <v>2</v>
      </c>
      <c r="D6" t="n">
        <v>20</v>
      </c>
      <c r="E6" t="n">
        <v>7</v>
      </c>
      <c r="G6" t="n">
        <v>10</v>
      </c>
      <c r="H6" t="n">
        <v>11</v>
      </c>
      <c r="I6" t="n">
        <v>15</v>
      </c>
      <c r="J6" t="n">
        <v>4</v>
      </c>
      <c r="L6" t="n">
        <v>18</v>
      </c>
      <c r="M6" t="n">
        <v>19</v>
      </c>
      <c r="N6" t="n">
        <v>23</v>
      </c>
      <c r="O6" t="n">
        <v>12</v>
      </c>
      <c r="Q6" t="n">
        <v>24</v>
      </c>
      <c r="R6" t="n">
        <v>1</v>
      </c>
      <c r="S6" t="n">
        <v>5</v>
      </c>
      <c r="T6" t="n">
        <v>14</v>
      </c>
      <c r="V6" t="n">
        <v>8</v>
      </c>
      <c r="W6" t="n">
        <v>9</v>
      </c>
      <c r="X6" t="n">
        <v>13</v>
      </c>
      <c r="Y6" t="n">
        <v>22</v>
      </c>
      <c r="AA6" t="n">
        <v>6</v>
      </c>
      <c r="AB6" t="n">
        <v>17</v>
      </c>
      <c r="AC6" t="n">
        <v>16</v>
      </c>
      <c r="AD6" t="n">
        <v>21</v>
      </c>
    </row>
    <row r="7">
      <c r="A7" t="inlineStr">
        <is>
          <t>R5</t>
        </is>
      </c>
      <c r="B7" t="n">
        <v>17</v>
      </c>
      <c r="C7" t="n">
        <v>22</v>
      </c>
      <c r="D7" t="n">
        <v>10</v>
      </c>
      <c r="E7" t="n">
        <v>7</v>
      </c>
      <c r="G7" t="n">
        <v>4</v>
      </c>
      <c r="H7" t="n">
        <v>3</v>
      </c>
      <c r="I7" t="n">
        <v>21</v>
      </c>
      <c r="J7" t="n">
        <v>8</v>
      </c>
      <c r="L7" t="n">
        <v>5</v>
      </c>
      <c r="M7" t="n">
        <v>11</v>
      </c>
      <c r="N7" t="n">
        <v>12</v>
      </c>
      <c r="O7" t="n">
        <v>16</v>
      </c>
      <c r="Q7" t="n">
        <v>13</v>
      </c>
      <c r="R7" t="n">
        <v>19</v>
      </c>
      <c r="S7" t="n">
        <v>20</v>
      </c>
      <c r="T7" t="n">
        <v>24</v>
      </c>
      <c r="V7" t="n">
        <v>1</v>
      </c>
      <c r="W7" t="n">
        <v>6</v>
      </c>
      <c r="X7" t="n">
        <v>15</v>
      </c>
      <c r="Y7" t="n">
        <v>18</v>
      </c>
      <c r="AA7" t="n">
        <v>9</v>
      </c>
      <c r="AB7" t="n">
        <v>14</v>
      </c>
      <c r="AC7" t="n">
        <v>2</v>
      </c>
      <c r="AD7" t="n">
        <v>23</v>
      </c>
    </row>
    <row r="8">
      <c r="A8" t="inlineStr">
        <is>
          <t>R6</t>
        </is>
      </c>
      <c r="B8" t="n">
        <v>15</v>
      </c>
      <c r="C8" t="n">
        <v>24</v>
      </c>
      <c r="D8" t="n">
        <v>9</v>
      </c>
      <c r="E8" t="n">
        <v>3</v>
      </c>
      <c r="G8" t="n">
        <v>23</v>
      </c>
      <c r="H8" t="n">
        <v>8</v>
      </c>
      <c r="I8" t="n">
        <v>11</v>
      </c>
      <c r="J8" t="n">
        <v>17</v>
      </c>
      <c r="L8" t="n">
        <v>2</v>
      </c>
      <c r="M8" t="n">
        <v>5</v>
      </c>
      <c r="N8" t="n">
        <v>4</v>
      </c>
      <c r="O8" t="n">
        <v>22</v>
      </c>
      <c r="Q8" t="n">
        <v>10</v>
      </c>
      <c r="R8" t="n">
        <v>12</v>
      </c>
      <c r="S8" t="n">
        <v>13</v>
      </c>
      <c r="T8" t="n">
        <v>6</v>
      </c>
      <c r="V8" t="n">
        <v>18</v>
      </c>
      <c r="W8" t="n">
        <v>20</v>
      </c>
      <c r="X8" t="n">
        <v>14</v>
      </c>
      <c r="Y8" t="n">
        <v>21</v>
      </c>
      <c r="AA8" t="n">
        <v>7</v>
      </c>
      <c r="AB8" t="n">
        <v>16</v>
      </c>
      <c r="AC8" t="n">
        <v>1</v>
      </c>
      <c r="AD8" t="n">
        <v>19</v>
      </c>
    </row>
    <row r="9">
      <c r="A9" t="inlineStr">
        <is>
          <t>R7</t>
        </is>
      </c>
      <c r="B9" t="n">
        <v>20</v>
      </c>
      <c r="C9" t="n">
        <v>1</v>
      </c>
      <c r="D9" t="n">
        <v>8</v>
      </c>
      <c r="E9" t="n">
        <v>10</v>
      </c>
      <c r="G9" t="n">
        <v>16</v>
      </c>
      <c r="H9" t="n">
        <v>9</v>
      </c>
      <c r="I9" t="n">
        <v>18</v>
      </c>
      <c r="J9" t="n">
        <v>4</v>
      </c>
      <c r="L9" t="n">
        <v>12</v>
      </c>
      <c r="M9" t="n">
        <v>17</v>
      </c>
      <c r="N9" t="n">
        <v>24</v>
      </c>
      <c r="O9" t="n">
        <v>2</v>
      </c>
      <c r="Q9" t="n">
        <v>6</v>
      </c>
      <c r="R9" t="n">
        <v>3</v>
      </c>
      <c r="S9" t="n">
        <v>23</v>
      </c>
      <c r="T9" t="n">
        <v>5</v>
      </c>
      <c r="V9" t="n">
        <v>14</v>
      </c>
      <c r="W9" t="n">
        <v>7</v>
      </c>
      <c r="X9" t="n">
        <v>11</v>
      </c>
      <c r="Y9" t="n">
        <v>13</v>
      </c>
      <c r="AA9" t="n">
        <v>22</v>
      </c>
      <c r="AB9" t="n">
        <v>21</v>
      </c>
      <c r="AC9" t="n">
        <v>19</v>
      </c>
      <c r="AD9" t="n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9"/>
  <sheetViews>
    <sheetView zoomScaleNormal="100" workbookViewId="0">
      <selection activeCell="A1" sqref="A1"/>
    </sheetView>
  </sheetViews>
  <sheetFormatPr baseColWidth="8" defaultColWidth="3.85546875" defaultRowHeight="15"/>
  <cols>
    <col width="7.85546875" customWidth="1" min="1" max="1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8</v>
      </c>
      <c r="D3">
        <f>14+1</f>
        <v/>
      </c>
      <c r="E3">
        <f>14+8</f>
        <v/>
      </c>
      <c r="G3" t="n">
        <v>7</v>
      </c>
      <c r="H3" t="n">
        <v>14</v>
      </c>
      <c r="I3">
        <f>14+7</f>
        <v/>
      </c>
      <c r="J3">
        <f>14+14</f>
        <v/>
      </c>
      <c r="L3" t="n">
        <v>6</v>
      </c>
      <c r="M3" t="n">
        <v>13</v>
      </c>
      <c r="N3">
        <f>14+6</f>
        <v/>
      </c>
      <c r="O3">
        <f>14+13</f>
        <v/>
      </c>
      <c r="Q3" t="n">
        <v>5</v>
      </c>
      <c r="R3" t="n">
        <v>12</v>
      </c>
      <c r="S3">
        <f>14+5</f>
        <v/>
      </c>
      <c r="T3">
        <f>14+12</f>
        <v/>
      </c>
      <c r="V3" t="n">
        <v>4</v>
      </c>
      <c r="W3" t="n">
        <v>11</v>
      </c>
      <c r="X3">
        <f>14+4</f>
        <v/>
      </c>
      <c r="Y3">
        <f>14+11</f>
        <v/>
      </c>
      <c r="AA3" t="n">
        <v>3</v>
      </c>
      <c r="AB3" t="n">
        <v>10</v>
      </c>
      <c r="AC3">
        <f>14+3</f>
        <v/>
      </c>
      <c r="AD3">
        <f>14+10</f>
        <v/>
      </c>
      <c r="AF3" t="n">
        <v>2</v>
      </c>
      <c r="AG3" t="n">
        <v>9</v>
      </c>
      <c r="AH3">
        <f>14+2</f>
        <v/>
      </c>
      <c r="AI3">
        <f>14+9</f>
        <v/>
      </c>
    </row>
    <row r="4">
      <c r="A4" t="inlineStr">
        <is>
          <t>R2</t>
        </is>
      </c>
      <c r="B4">
        <f>14+5</f>
        <v/>
      </c>
      <c r="C4">
        <f>14+11</f>
        <v/>
      </c>
      <c r="D4" t="n">
        <v>7</v>
      </c>
      <c r="E4" t="n">
        <v>13</v>
      </c>
      <c r="G4">
        <f>14+4</f>
        <v/>
      </c>
      <c r="H4">
        <f>14+10</f>
        <v/>
      </c>
      <c r="I4" t="n">
        <v>6</v>
      </c>
      <c r="J4" t="n">
        <v>12</v>
      </c>
      <c r="L4">
        <f>14+3</f>
        <v/>
      </c>
      <c r="M4">
        <f>14+9</f>
        <v/>
      </c>
      <c r="N4" t="n">
        <v>5</v>
      </c>
      <c r="O4" t="n">
        <v>11</v>
      </c>
      <c r="Q4">
        <f>14+2</f>
        <v/>
      </c>
      <c r="R4">
        <f>14+8</f>
        <v/>
      </c>
      <c r="S4" t="n">
        <v>4</v>
      </c>
      <c r="T4" t="n">
        <v>10</v>
      </c>
      <c r="V4">
        <f>14+1</f>
        <v/>
      </c>
      <c r="W4">
        <f>14+14</f>
        <v/>
      </c>
      <c r="X4" t="n">
        <v>3</v>
      </c>
      <c r="Y4" t="n">
        <v>9</v>
      </c>
      <c r="AA4">
        <f>14+7</f>
        <v/>
      </c>
      <c r="AB4">
        <f>14+13</f>
        <v/>
      </c>
      <c r="AC4" t="n">
        <v>2</v>
      </c>
      <c r="AD4" t="n">
        <v>8</v>
      </c>
      <c r="AF4">
        <f>14+6</f>
        <v/>
      </c>
      <c r="AG4">
        <f>14+12</f>
        <v/>
      </c>
      <c r="AH4" t="n">
        <v>1</v>
      </c>
      <c r="AI4" t="n">
        <v>14</v>
      </c>
    </row>
    <row r="5">
      <c r="A5" t="inlineStr">
        <is>
          <t>R3</t>
        </is>
      </c>
      <c r="B5" t="n">
        <v>11</v>
      </c>
      <c r="C5">
        <f>14+2</f>
        <v/>
      </c>
      <c r="D5">
        <f>14+14</f>
        <v/>
      </c>
      <c r="E5" t="n">
        <v>6</v>
      </c>
      <c r="G5" t="n">
        <v>10</v>
      </c>
      <c r="H5">
        <f>14+1</f>
        <v/>
      </c>
      <c r="I5">
        <f>14+13</f>
        <v/>
      </c>
      <c r="J5" t="n">
        <v>5</v>
      </c>
      <c r="L5" t="n">
        <v>9</v>
      </c>
      <c r="M5">
        <f>14+7</f>
        <v/>
      </c>
      <c r="N5">
        <f>14+12</f>
        <v/>
      </c>
      <c r="O5" t="n">
        <v>4</v>
      </c>
      <c r="Q5" t="n">
        <v>8</v>
      </c>
      <c r="R5">
        <f>14+6</f>
        <v/>
      </c>
      <c r="S5">
        <f>14+11</f>
        <v/>
      </c>
      <c r="T5" t="n">
        <v>3</v>
      </c>
      <c r="V5" t="n">
        <v>14</v>
      </c>
      <c r="W5">
        <f>14+5</f>
        <v/>
      </c>
      <c r="X5">
        <f>14+10</f>
        <v/>
      </c>
      <c r="Y5" t="n">
        <v>2</v>
      </c>
      <c r="AA5" t="n">
        <v>13</v>
      </c>
      <c r="AB5">
        <f>14+4</f>
        <v/>
      </c>
      <c r="AC5">
        <f>14+9</f>
        <v/>
      </c>
      <c r="AD5" t="n">
        <v>1</v>
      </c>
      <c r="AF5" t="n">
        <v>12</v>
      </c>
      <c r="AG5">
        <f>14+3</f>
        <v/>
      </c>
      <c r="AH5">
        <f>14+8</f>
        <v/>
      </c>
      <c r="AI5" t="n">
        <v>7</v>
      </c>
    </row>
    <row r="6">
      <c r="A6" t="inlineStr">
        <is>
          <t>R4</t>
        </is>
      </c>
      <c r="B6">
        <f>14+10</f>
        <v/>
      </c>
      <c r="C6" t="n">
        <v>5</v>
      </c>
      <c r="D6" t="n">
        <v>9</v>
      </c>
      <c r="E6">
        <f>14+6</f>
        <v/>
      </c>
      <c r="G6">
        <f>14+9</f>
        <v/>
      </c>
      <c r="H6" t="n">
        <v>4</v>
      </c>
      <c r="I6" t="n">
        <v>8</v>
      </c>
      <c r="J6">
        <f>14+5</f>
        <v/>
      </c>
      <c r="L6">
        <f>14+8</f>
        <v/>
      </c>
      <c r="M6" t="n">
        <v>3</v>
      </c>
      <c r="N6" t="n">
        <v>14</v>
      </c>
      <c r="O6">
        <f>14+4</f>
        <v/>
      </c>
      <c r="Q6">
        <f>14+14</f>
        <v/>
      </c>
      <c r="R6" t="n">
        <v>2</v>
      </c>
      <c r="S6" t="n">
        <v>13</v>
      </c>
      <c r="T6">
        <f>14+3</f>
        <v/>
      </c>
      <c r="V6">
        <f>14+13</f>
        <v/>
      </c>
      <c r="W6" t="n">
        <v>1</v>
      </c>
      <c r="X6" t="n">
        <v>12</v>
      </c>
      <c r="Y6">
        <f>14+2</f>
        <v/>
      </c>
      <c r="AA6">
        <f>14+12</f>
        <v/>
      </c>
      <c r="AB6" t="n">
        <v>7</v>
      </c>
      <c r="AC6" t="n">
        <v>11</v>
      </c>
      <c r="AD6">
        <f>14+1</f>
        <v/>
      </c>
      <c r="AF6">
        <f>14+11</f>
        <v/>
      </c>
      <c r="AG6" t="n">
        <v>6</v>
      </c>
      <c r="AH6" t="n">
        <v>10</v>
      </c>
      <c r="AI6">
        <f>14+7</f>
        <v/>
      </c>
    </row>
    <row r="7">
      <c r="A7" t="inlineStr">
        <is>
          <t>R5</t>
        </is>
      </c>
      <c r="B7" t="n">
        <v>4</v>
      </c>
      <c r="C7" t="n">
        <v>14</v>
      </c>
      <c r="D7">
        <f>14+3</f>
        <v/>
      </c>
      <c r="E7">
        <f>14+13</f>
        <v/>
      </c>
      <c r="G7" t="n">
        <v>3</v>
      </c>
      <c r="H7" t="n">
        <v>13</v>
      </c>
      <c r="I7">
        <f>14+2</f>
        <v/>
      </c>
      <c r="J7">
        <f>14+12</f>
        <v/>
      </c>
      <c r="L7" t="n">
        <v>2</v>
      </c>
      <c r="M7" t="n">
        <v>12</v>
      </c>
      <c r="N7">
        <f>14+1</f>
        <v/>
      </c>
      <c r="O7">
        <f>14+11</f>
        <v/>
      </c>
      <c r="Q7" t="n">
        <v>1</v>
      </c>
      <c r="R7" t="n">
        <v>11</v>
      </c>
      <c r="S7">
        <f>14+7</f>
        <v/>
      </c>
      <c r="T7">
        <f>14+10</f>
        <v/>
      </c>
      <c r="V7" t="n">
        <v>7</v>
      </c>
      <c r="W7" t="n">
        <v>10</v>
      </c>
      <c r="X7">
        <f>14+6</f>
        <v/>
      </c>
      <c r="Y7">
        <f>14+9</f>
        <v/>
      </c>
      <c r="AA7" t="n">
        <v>6</v>
      </c>
      <c r="AB7" t="n">
        <v>9</v>
      </c>
      <c r="AC7">
        <f>14+5</f>
        <v/>
      </c>
      <c r="AD7">
        <f>14+8</f>
        <v/>
      </c>
      <c r="AF7" t="n">
        <v>5</v>
      </c>
      <c r="AG7" t="n">
        <v>8</v>
      </c>
      <c r="AH7">
        <f>14+4</f>
        <v/>
      </c>
      <c r="AI7">
        <f>14+14</f>
        <v/>
      </c>
    </row>
    <row r="8">
      <c r="A8" t="inlineStr">
        <is>
          <t>R6</t>
        </is>
      </c>
      <c r="B8">
        <f>14+7</f>
        <v/>
      </c>
      <c r="C8">
        <f>14+9</f>
        <v/>
      </c>
      <c r="D8" t="n">
        <v>3</v>
      </c>
      <c r="E8" t="n">
        <v>12</v>
      </c>
      <c r="G8">
        <f>14+6</f>
        <v/>
      </c>
      <c r="H8">
        <f>14+8</f>
        <v/>
      </c>
      <c r="I8" t="n">
        <v>2</v>
      </c>
      <c r="J8" t="n">
        <v>11</v>
      </c>
      <c r="L8">
        <f>14+5</f>
        <v/>
      </c>
      <c r="M8">
        <f>14+14</f>
        <v/>
      </c>
      <c r="N8" t="n">
        <v>1</v>
      </c>
      <c r="O8" t="n">
        <v>10</v>
      </c>
      <c r="Q8">
        <f>14+4</f>
        <v/>
      </c>
      <c r="R8">
        <f>14+13</f>
        <v/>
      </c>
      <c r="S8" t="n">
        <v>7</v>
      </c>
      <c r="T8" t="n">
        <v>9</v>
      </c>
      <c r="V8">
        <f>14+3</f>
        <v/>
      </c>
      <c r="W8">
        <f>14+12</f>
        <v/>
      </c>
      <c r="X8" t="n">
        <v>6</v>
      </c>
      <c r="Y8" t="n">
        <v>8</v>
      </c>
      <c r="AA8">
        <f>14+2</f>
        <v/>
      </c>
      <c r="AB8">
        <f>14+11</f>
        <v/>
      </c>
      <c r="AC8" t="n">
        <v>5</v>
      </c>
      <c r="AD8" t="n">
        <v>14</v>
      </c>
      <c r="AF8">
        <f>14+1</f>
        <v/>
      </c>
      <c r="AG8">
        <f>14+10</f>
        <v/>
      </c>
      <c r="AH8" t="n">
        <v>4</v>
      </c>
      <c r="AI8" t="n">
        <v>13</v>
      </c>
    </row>
    <row r="9">
      <c r="A9" t="inlineStr">
        <is>
          <t>R7</t>
        </is>
      </c>
      <c r="B9" t="n">
        <v>10</v>
      </c>
      <c r="C9">
        <f>14+4</f>
        <v/>
      </c>
      <c r="D9">
        <f>14+12</f>
        <v/>
      </c>
      <c r="E9" t="n">
        <v>2</v>
      </c>
      <c r="G9" t="n">
        <v>9</v>
      </c>
      <c r="H9">
        <f>14+3</f>
        <v/>
      </c>
      <c r="I9">
        <f>14+11</f>
        <v/>
      </c>
      <c r="J9" t="n">
        <v>1</v>
      </c>
      <c r="L9" t="n">
        <v>8</v>
      </c>
      <c r="M9">
        <f>14+2</f>
        <v/>
      </c>
      <c r="N9">
        <f>14+10</f>
        <v/>
      </c>
      <c r="O9" t="n">
        <v>7</v>
      </c>
      <c r="Q9" t="n">
        <v>14</v>
      </c>
      <c r="R9">
        <f>14+1</f>
        <v/>
      </c>
      <c r="S9">
        <f>14+9</f>
        <v/>
      </c>
      <c r="T9" t="n">
        <v>6</v>
      </c>
      <c r="V9" t="n">
        <v>13</v>
      </c>
      <c r="W9">
        <f>14+7</f>
        <v/>
      </c>
      <c r="X9">
        <f>14+8</f>
        <v/>
      </c>
      <c r="Y9" t="n">
        <v>5</v>
      </c>
      <c r="AA9" t="n">
        <v>12</v>
      </c>
      <c r="AB9">
        <f>14+6</f>
        <v/>
      </c>
      <c r="AC9">
        <f>14+14</f>
        <v/>
      </c>
      <c r="AD9" t="n">
        <v>4</v>
      </c>
      <c r="AF9" t="n">
        <v>11</v>
      </c>
      <c r="AG9">
        <f>14+5</f>
        <v/>
      </c>
      <c r="AH9">
        <f>14+13</f>
        <v/>
      </c>
      <c r="AI9" t="n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9"/>
  <sheetViews>
    <sheetView zoomScaleNormal="100" workbookViewId="0">
      <selection activeCell="A1" sqref="A1"/>
    </sheetView>
  </sheetViews>
  <sheetFormatPr baseColWidth="8" defaultColWidth="3.710937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9</v>
      </c>
      <c r="D3">
        <f>16+1</f>
        <v/>
      </c>
      <c r="E3">
        <f>16+9</f>
        <v/>
      </c>
      <c r="G3" t="n">
        <v>8</v>
      </c>
      <c r="H3" t="n">
        <v>16</v>
      </c>
      <c r="I3">
        <f>16+8</f>
        <v/>
      </c>
      <c r="J3">
        <f>16+16</f>
        <v/>
      </c>
      <c r="L3" t="n">
        <v>4</v>
      </c>
      <c r="M3" t="n">
        <v>12</v>
      </c>
      <c r="N3">
        <f>16+4</f>
        <v/>
      </c>
      <c r="O3">
        <f>16+12</f>
        <v/>
      </c>
      <c r="Q3" t="n">
        <v>5</v>
      </c>
      <c r="R3" t="n">
        <v>13</v>
      </c>
      <c r="S3">
        <f>16+5</f>
        <v/>
      </c>
      <c r="T3">
        <f>16+13</f>
        <v/>
      </c>
      <c r="V3" t="n">
        <v>7</v>
      </c>
      <c r="W3" t="n">
        <v>15</v>
      </c>
      <c r="X3">
        <f>16+7</f>
        <v/>
      </c>
      <c r="Y3">
        <f>16+15</f>
        <v/>
      </c>
      <c r="AA3" t="n">
        <v>2</v>
      </c>
      <c r="AB3" t="n">
        <v>10</v>
      </c>
      <c r="AC3">
        <f>16+2</f>
        <v/>
      </c>
      <c r="AD3">
        <f>16+10</f>
        <v/>
      </c>
      <c r="AF3" t="n">
        <v>6</v>
      </c>
      <c r="AG3" t="n">
        <v>14</v>
      </c>
      <c r="AH3">
        <f>16+6</f>
        <v/>
      </c>
      <c r="AI3">
        <f>16+14</f>
        <v/>
      </c>
      <c r="AK3" t="n">
        <v>3</v>
      </c>
      <c r="AL3" t="n">
        <v>11</v>
      </c>
      <c r="AM3">
        <f>16+3</f>
        <v/>
      </c>
      <c r="AN3">
        <f>16+11</f>
        <v/>
      </c>
    </row>
    <row r="4">
      <c r="A4" t="inlineStr">
        <is>
          <t>R2</t>
        </is>
      </c>
      <c r="B4">
        <f>16+6</f>
        <v/>
      </c>
      <c r="C4">
        <f>16+13</f>
        <v/>
      </c>
      <c r="D4" t="n">
        <v>8</v>
      </c>
      <c r="E4" t="n">
        <v>15</v>
      </c>
      <c r="G4">
        <f>16+3</f>
        <v/>
      </c>
      <c r="H4">
        <f>16+12</f>
        <v/>
      </c>
      <c r="I4" t="n">
        <v>1</v>
      </c>
      <c r="J4" t="n">
        <v>10</v>
      </c>
      <c r="L4">
        <f>16+7</f>
        <v/>
      </c>
      <c r="M4">
        <f>16+16</f>
        <v/>
      </c>
      <c r="N4" t="n">
        <v>5</v>
      </c>
      <c r="O4" t="n">
        <v>14</v>
      </c>
      <c r="Q4">
        <f>16+2</f>
        <v/>
      </c>
      <c r="R4">
        <f>16+9</f>
        <v/>
      </c>
      <c r="S4" t="n">
        <v>4</v>
      </c>
      <c r="T4" t="n">
        <v>11</v>
      </c>
      <c r="V4">
        <f>16+4</f>
        <v/>
      </c>
      <c r="W4">
        <f>16+11</f>
        <v/>
      </c>
      <c r="X4" t="n">
        <v>2</v>
      </c>
      <c r="Y4" t="n">
        <v>9</v>
      </c>
      <c r="AA4">
        <f>16+5</f>
        <v/>
      </c>
      <c r="AB4">
        <f>16+14</f>
        <v/>
      </c>
      <c r="AC4" t="n">
        <v>7</v>
      </c>
      <c r="AD4" t="n">
        <v>16</v>
      </c>
      <c r="AF4">
        <f>16+1</f>
        <v/>
      </c>
      <c r="AG4">
        <f>16+10</f>
        <v/>
      </c>
      <c r="AH4" t="n">
        <v>3</v>
      </c>
      <c r="AI4" t="n">
        <v>12</v>
      </c>
      <c r="AK4">
        <f>16+8</f>
        <v/>
      </c>
      <c r="AL4">
        <f>16+15</f>
        <v/>
      </c>
      <c r="AM4" t="n">
        <v>6</v>
      </c>
      <c r="AN4" t="n">
        <v>13</v>
      </c>
    </row>
    <row r="5">
      <c r="A5" t="inlineStr">
        <is>
          <t>R3</t>
        </is>
      </c>
      <c r="B5" t="n">
        <v>10</v>
      </c>
      <c r="C5">
        <f>16+8</f>
        <v/>
      </c>
      <c r="D5">
        <f>16+14</f>
        <v/>
      </c>
      <c r="E5" t="n">
        <v>4</v>
      </c>
      <c r="G5" t="n">
        <v>15</v>
      </c>
      <c r="H5">
        <f>16+1</f>
        <v/>
      </c>
      <c r="I5">
        <f>16+11</f>
        <v/>
      </c>
      <c r="J5" t="n">
        <v>5</v>
      </c>
      <c r="L5" t="n">
        <v>11</v>
      </c>
      <c r="M5">
        <f>16+5</f>
        <v/>
      </c>
      <c r="N5">
        <f>16+15</f>
        <v/>
      </c>
      <c r="O5" t="n">
        <v>1</v>
      </c>
      <c r="Q5" t="n">
        <v>14</v>
      </c>
      <c r="R5">
        <f>16+4</f>
        <v/>
      </c>
      <c r="S5">
        <f>16+10</f>
        <v/>
      </c>
      <c r="T5" t="n">
        <v>8</v>
      </c>
      <c r="V5" t="n">
        <v>16</v>
      </c>
      <c r="W5">
        <f>16+2</f>
        <v/>
      </c>
      <c r="X5">
        <f>16+12</f>
        <v/>
      </c>
      <c r="Y5" t="n">
        <v>6</v>
      </c>
      <c r="AA5" t="n">
        <v>9</v>
      </c>
      <c r="AB5">
        <f>16+7</f>
        <v/>
      </c>
      <c r="AC5">
        <f>16+13</f>
        <v/>
      </c>
      <c r="AD5" t="n">
        <v>3</v>
      </c>
      <c r="AF5" t="n">
        <v>13</v>
      </c>
      <c r="AG5">
        <f>16+3</f>
        <v/>
      </c>
      <c r="AH5">
        <f>16+9</f>
        <v/>
      </c>
      <c r="AI5" t="n">
        <v>7</v>
      </c>
      <c r="AK5" t="n">
        <v>12</v>
      </c>
      <c r="AL5">
        <f>16+6</f>
        <v/>
      </c>
      <c r="AM5">
        <f>16+16</f>
        <v/>
      </c>
      <c r="AN5" t="n">
        <v>2</v>
      </c>
    </row>
    <row r="6">
      <c r="A6" t="inlineStr">
        <is>
          <t>R4</t>
        </is>
      </c>
      <c r="B6">
        <f>16+10</f>
        <v/>
      </c>
      <c r="C6" t="n">
        <v>5</v>
      </c>
      <c r="D6" t="n">
        <v>16</v>
      </c>
      <c r="E6">
        <f>16+3</f>
        <v/>
      </c>
      <c r="G6">
        <f>16+15</f>
        <v/>
      </c>
      <c r="H6" t="n">
        <v>4</v>
      </c>
      <c r="I6" t="n">
        <v>9</v>
      </c>
      <c r="J6">
        <f>16+6</f>
        <v/>
      </c>
      <c r="L6">
        <f>16+11</f>
        <v/>
      </c>
      <c r="M6" t="n">
        <v>8</v>
      </c>
      <c r="N6" t="n">
        <v>13</v>
      </c>
      <c r="O6">
        <f>16+2</f>
        <v/>
      </c>
      <c r="Q6">
        <f>16+14</f>
        <v/>
      </c>
      <c r="R6" t="n">
        <v>1</v>
      </c>
      <c r="S6" t="n">
        <v>12</v>
      </c>
      <c r="T6">
        <f>16+7</f>
        <v/>
      </c>
      <c r="V6">
        <f>16+16</f>
        <v/>
      </c>
      <c r="W6" t="n">
        <v>3</v>
      </c>
      <c r="X6" t="n">
        <v>10</v>
      </c>
      <c r="Y6">
        <f>16+5</f>
        <v/>
      </c>
      <c r="AA6">
        <f>16+9</f>
        <v/>
      </c>
      <c r="AB6" t="n">
        <v>6</v>
      </c>
      <c r="AC6" t="n">
        <v>15</v>
      </c>
      <c r="AD6">
        <f>16+4</f>
        <v/>
      </c>
      <c r="AF6">
        <f>16+13</f>
        <v/>
      </c>
      <c r="AG6" t="n">
        <v>2</v>
      </c>
      <c r="AH6" t="n">
        <v>11</v>
      </c>
      <c r="AI6">
        <f>16+8</f>
        <v/>
      </c>
      <c r="AK6">
        <f>16+12</f>
        <v/>
      </c>
      <c r="AL6" t="n">
        <v>7</v>
      </c>
      <c r="AM6" t="n">
        <v>14</v>
      </c>
      <c r="AN6">
        <f>16+1</f>
        <v/>
      </c>
    </row>
    <row r="7">
      <c r="A7" t="inlineStr">
        <is>
          <t>R5</t>
        </is>
      </c>
      <c r="B7" t="n">
        <v>7</v>
      </c>
      <c r="C7" t="n">
        <v>11</v>
      </c>
      <c r="D7">
        <f>16+4</f>
        <v/>
      </c>
      <c r="E7">
        <f>16+16</f>
        <v/>
      </c>
      <c r="G7" t="n">
        <v>2</v>
      </c>
      <c r="H7" t="n">
        <v>14</v>
      </c>
      <c r="I7">
        <f>16+5</f>
        <v/>
      </c>
      <c r="J7">
        <f>16+9</f>
        <v/>
      </c>
      <c r="L7" t="n">
        <v>6</v>
      </c>
      <c r="M7" t="n">
        <v>10</v>
      </c>
      <c r="N7">
        <f>16+1</f>
        <v/>
      </c>
      <c r="O7">
        <f>16+13</f>
        <v/>
      </c>
      <c r="Q7" t="n">
        <v>3</v>
      </c>
      <c r="R7" t="n">
        <v>15</v>
      </c>
      <c r="S7">
        <f>16+8</f>
        <v/>
      </c>
      <c r="T7">
        <f>16+12</f>
        <v/>
      </c>
      <c r="V7" t="n">
        <v>1</v>
      </c>
      <c r="W7" t="n">
        <v>13</v>
      </c>
      <c r="X7">
        <f>16+6</f>
        <v/>
      </c>
      <c r="Y7">
        <f>16+10</f>
        <v/>
      </c>
      <c r="AA7" t="n">
        <v>8</v>
      </c>
      <c r="AB7" t="n">
        <v>12</v>
      </c>
      <c r="AC7">
        <f>16+3</f>
        <v/>
      </c>
      <c r="AD7">
        <f>16+15</f>
        <v/>
      </c>
      <c r="AF7" t="n">
        <v>4</v>
      </c>
      <c r="AG7" t="n">
        <v>16</v>
      </c>
      <c r="AH7">
        <f>16+7</f>
        <v/>
      </c>
      <c r="AI7">
        <f>16+11</f>
        <v/>
      </c>
      <c r="AK7" t="n">
        <v>5</v>
      </c>
      <c r="AL7" t="n">
        <v>9</v>
      </c>
      <c r="AM7">
        <f>16+2</f>
        <v/>
      </c>
      <c r="AN7">
        <f>16+14</f>
        <v/>
      </c>
    </row>
    <row r="8">
      <c r="A8" t="inlineStr">
        <is>
          <t>R6</t>
        </is>
      </c>
      <c r="B8">
        <f>16+7</f>
        <v/>
      </c>
      <c r="C8">
        <f>16+12</f>
        <v/>
      </c>
      <c r="D8" t="n">
        <v>2</v>
      </c>
      <c r="E8" t="n">
        <v>13</v>
      </c>
      <c r="G8">
        <f>16+2</f>
        <v/>
      </c>
      <c r="H8">
        <f>16+13</f>
        <v/>
      </c>
      <c r="I8" t="n">
        <v>7</v>
      </c>
      <c r="J8" t="n">
        <v>12</v>
      </c>
      <c r="L8">
        <f>16+6</f>
        <v/>
      </c>
      <c r="M8">
        <f>16+9</f>
        <v/>
      </c>
      <c r="N8" t="n">
        <v>3</v>
      </c>
      <c r="O8" t="n">
        <v>16</v>
      </c>
      <c r="Q8">
        <f>16+3</f>
        <v/>
      </c>
      <c r="R8">
        <f>16+16</f>
        <v/>
      </c>
      <c r="S8" t="n">
        <v>6</v>
      </c>
      <c r="T8" t="n">
        <v>9</v>
      </c>
      <c r="V8">
        <f>16+1</f>
        <v/>
      </c>
      <c r="W8">
        <f>16+14</f>
        <v/>
      </c>
      <c r="X8" t="n">
        <v>8</v>
      </c>
      <c r="Y8" t="n">
        <v>11</v>
      </c>
      <c r="AA8">
        <f>16+8</f>
        <v/>
      </c>
      <c r="AB8">
        <f>16+11</f>
        <v/>
      </c>
      <c r="AC8" t="n">
        <v>1</v>
      </c>
      <c r="AD8" t="n">
        <v>14</v>
      </c>
      <c r="AF8">
        <f>16+4</f>
        <v/>
      </c>
      <c r="AG8">
        <f>16+15</f>
        <v/>
      </c>
      <c r="AH8" t="n">
        <v>5</v>
      </c>
      <c r="AI8" t="n">
        <v>10</v>
      </c>
      <c r="AK8">
        <f>16+5</f>
        <v/>
      </c>
      <c r="AL8">
        <f>16+10</f>
        <v/>
      </c>
      <c r="AM8" t="n">
        <v>4</v>
      </c>
      <c r="AN8" t="n">
        <v>15</v>
      </c>
    </row>
    <row r="9">
      <c r="A9" t="inlineStr">
        <is>
          <t>R7</t>
        </is>
      </c>
      <c r="B9" t="n">
        <v>12</v>
      </c>
      <c r="C9">
        <f>16+5</f>
        <v/>
      </c>
      <c r="D9">
        <f>16+11</f>
        <v/>
      </c>
      <c r="E9" t="n">
        <v>6</v>
      </c>
      <c r="G9" t="n">
        <v>13</v>
      </c>
      <c r="H9">
        <f>16+4</f>
        <v/>
      </c>
      <c r="I9">
        <f>16+14</f>
        <v/>
      </c>
      <c r="J9" t="n">
        <v>3</v>
      </c>
      <c r="L9" t="n">
        <v>9</v>
      </c>
      <c r="M9">
        <f>16+8</f>
        <v/>
      </c>
      <c r="N9">
        <f>16+10</f>
        <v/>
      </c>
      <c r="O9" t="n">
        <v>7</v>
      </c>
      <c r="Q9" t="n">
        <v>16</v>
      </c>
      <c r="R9">
        <f>16+1</f>
        <v/>
      </c>
      <c r="S9">
        <f>16+15</f>
        <v/>
      </c>
      <c r="T9" t="n">
        <v>2</v>
      </c>
      <c r="V9" t="n">
        <v>14</v>
      </c>
      <c r="W9">
        <f>16+3</f>
        <v/>
      </c>
      <c r="X9">
        <f>16+13</f>
        <v/>
      </c>
      <c r="Y9" t="n">
        <v>4</v>
      </c>
      <c r="AA9" t="n">
        <v>11</v>
      </c>
      <c r="AB9">
        <f>16+6</f>
        <v/>
      </c>
      <c r="AC9">
        <f>16+12</f>
        <v/>
      </c>
      <c r="AD9" t="n">
        <v>5</v>
      </c>
      <c r="AF9" t="n">
        <v>15</v>
      </c>
      <c r="AG9">
        <f>16+2</f>
        <v/>
      </c>
      <c r="AH9">
        <f>16+16</f>
        <v/>
      </c>
      <c r="AI9" t="n">
        <v>1</v>
      </c>
      <c r="AK9" t="n">
        <v>10</v>
      </c>
      <c r="AL9">
        <f>16+7</f>
        <v/>
      </c>
      <c r="AM9">
        <f>16+9</f>
        <v/>
      </c>
      <c r="AN9" t="n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9"/>
  <sheetViews>
    <sheetView zoomScaleNormal="100" workbookViewId="0">
      <selection activeCell="A1" sqref="A1"/>
    </sheetView>
  </sheetViews>
  <sheetFormatPr baseColWidth="8" defaultColWidth="5.1406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3.7109375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3.7109375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3.7109375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3.7109375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3.7109375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3.7109375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3.7109375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3.7109375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10</v>
      </c>
      <c r="D3">
        <f>18+1</f>
        <v/>
      </c>
      <c r="E3">
        <f>18+10</f>
        <v/>
      </c>
      <c r="G3" t="n">
        <v>9</v>
      </c>
      <c r="H3" t="n">
        <v>18</v>
      </c>
      <c r="I3">
        <f>18+9</f>
        <v/>
      </c>
      <c r="J3">
        <f>18+18</f>
        <v/>
      </c>
      <c r="L3" t="n">
        <v>5</v>
      </c>
      <c r="M3" t="n">
        <v>14</v>
      </c>
      <c r="N3">
        <f>18+5</f>
        <v/>
      </c>
      <c r="O3">
        <f>18+14</f>
        <v/>
      </c>
      <c r="Q3" t="n">
        <v>3</v>
      </c>
      <c r="R3" t="n">
        <v>12</v>
      </c>
      <c r="S3">
        <f>18+3</f>
        <v/>
      </c>
      <c r="T3">
        <f>18+12</f>
        <v/>
      </c>
      <c r="V3" t="n">
        <v>8</v>
      </c>
      <c r="W3" t="n">
        <v>17</v>
      </c>
      <c r="X3">
        <f>18+8</f>
        <v/>
      </c>
      <c r="Y3">
        <f>18+17</f>
        <v/>
      </c>
      <c r="AA3" t="n">
        <v>4</v>
      </c>
      <c r="AB3" t="n">
        <v>13</v>
      </c>
      <c r="AC3">
        <f>18+4</f>
        <v/>
      </c>
      <c r="AD3">
        <f>18+13</f>
        <v/>
      </c>
      <c r="AF3" t="n">
        <v>2</v>
      </c>
      <c r="AG3" t="n">
        <v>11</v>
      </c>
      <c r="AH3">
        <f>18+2</f>
        <v/>
      </c>
      <c r="AI3">
        <f>18+11</f>
        <v/>
      </c>
      <c r="AK3" t="n">
        <v>7</v>
      </c>
      <c r="AL3" t="n">
        <v>16</v>
      </c>
      <c r="AM3">
        <f>18+7</f>
        <v/>
      </c>
      <c r="AN3">
        <f>18+16</f>
        <v/>
      </c>
      <c r="AP3" t="n">
        <v>6</v>
      </c>
      <c r="AQ3" t="n">
        <v>15</v>
      </c>
      <c r="AR3">
        <f>18+6</f>
        <v/>
      </c>
      <c r="AS3">
        <f>18+15</f>
        <v/>
      </c>
    </row>
    <row r="4">
      <c r="A4" t="inlineStr">
        <is>
          <t>R2</t>
        </is>
      </c>
      <c r="B4">
        <f>18+7</f>
        <v/>
      </c>
      <c r="C4">
        <f>18+15</f>
        <v/>
      </c>
      <c r="D4" t="n">
        <v>9</v>
      </c>
      <c r="E4" t="n">
        <v>17</v>
      </c>
      <c r="G4">
        <f>18+6</f>
        <v/>
      </c>
      <c r="H4">
        <f>18+11</f>
        <v/>
      </c>
      <c r="I4" t="n">
        <v>5</v>
      </c>
      <c r="J4" t="n">
        <v>13</v>
      </c>
      <c r="L4">
        <f>18+2</f>
        <v/>
      </c>
      <c r="M4">
        <f>18+16</f>
        <v/>
      </c>
      <c r="N4" t="n">
        <v>1</v>
      </c>
      <c r="O4" t="n">
        <v>12</v>
      </c>
      <c r="Q4">
        <f>18+9</f>
        <v/>
      </c>
      <c r="R4">
        <f>18+14</f>
        <v/>
      </c>
      <c r="S4" t="n">
        <v>8</v>
      </c>
      <c r="T4" t="n">
        <v>16</v>
      </c>
      <c r="V4">
        <f>18+5</f>
        <v/>
      </c>
      <c r="W4">
        <f>18+10</f>
        <v/>
      </c>
      <c r="X4" t="n">
        <v>4</v>
      </c>
      <c r="Y4" t="n">
        <v>15</v>
      </c>
      <c r="AA4">
        <f>18+1</f>
        <v/>
      </c>
      <c r="AB4">
        <f>18+18</f>
        <v/>
      </c>
      <c r="AC4" t="n">
        <v>3</v>
      </c>
      <c r="AD4" t="n">
        <v>11</v>
      </c>
      <c r="AF4">
        <f>18+8</f>
        <v/>
      </c>
      <c r="AG4">
        <f>18+13</f>
        <v/>
      </c>
      <c r="AH4" t="n">
        <v>7</v>
      </c>
      <c r="AI4" t="n">
        <v>18</v>
      </c>
      <c r="AK4">
        <f>18+4</f>
        <v/>
      </c>
      <c r="AL4">
        <f>18+12</f>
        <v/>
      </c>
      <c r="AM4" t="n">
        <v>6</v>
      </c>
      <c r="AN4" t="n">
        <v>14</v>
      </c>
      <c r="AP4">
        <f>18+3</f>
        <v/>
      </c>
      <c r="AQ4">
        <f>18+17</f>
        <v/>
      </c>
      <c r="AR4" t="n">
        <v>2</v>
      </c>
      <c r="AS4" t="n">
        <v>10</v>
      </c>
    </row>
    <row r="5">
      <c r="A5" t="inlineStr">
        <is>
          <t>R3</t>
        </is>
      </c>
      <c r="B5" t="n">
        <v>15</v>
      </c>
      <c r="C5">
        <f>18+4</f>
        <v/>
      </c>
      <c r="D5">
        <f>18+17</f>
        <v/>
      </c>
      <c r="E5" t="n">
        <v>5</v>
      </c>
      <c r="G5" t="n">
        <v>11</v>
      </c>
      <c r="H5">
        <f>18+3</f>
        <v/>
      </c>
      <c r="I5">
        <f>18+13</f>
        <v/>
      </c>
      <c r="J5" t="n">
        <v>1</v>
      </c>
      <c r="L5" t="n">
        <v>16</v>
      </c>
      <c r="M5">
        <f>18+8</f>
        <v/>
      </c>
      <c r="N5">
        <f>18+12</f>
        <v/>
      </c>
      <c r="O5" t="n">
        <v>9</v>
      </c>
      <c r="Q5" t="n">
        <v>14</v>
      </c>
      <c r="R5">
        <f>18+6</f>
        <v/>
      </c>
      <c r="S5">
        <f>18+16</f>
        <v/>
      </c>
      <c r="T5" t="n">
        <v>4</v>
      </c>
      <c r="V5" t="n">
        <v>10</v>
      </c>
      <c r="W5">
        <f>18+2</f>
        <v/>
      </c>
      <c r="X5">
        <f>18+15</f>
        <v/>
      </c>
      <c r="Y5" t="n">
        <v>3</v>
      </c>
      <c r="AA5" t="n">
        <v>18</v>
      </c>
      <c r="AB5">
        <f>18+7</f>
        <v/>
      </c>
      <c r="AC5">
        <f>18+11</f>
        <v/>
      </c>
      <c r="AD5" t="n">
        <v>8</v>
      </c>
      <c r="AF5" t="n">
        <v>13</v>
      </c>
      <c r="AG5">
        <f>18+5</f>
        <v/>
      </c>
      <c r="AH5">
        <f>18+18</f>
        <v/>
      </c>
      <c r="AI5" t="n">
        <v>6</v>
      </c>
      <c r="AK5" t="n">
        <v>12</v>
      </c>
      <c r="AL5">
        <f>18+1</f>
        <v/>
      </c>
      <c r="AM5">
        <f>18+14</f>
        <v/>
      </c>
      <c r="AN5" t="n">
        <v>2</v>
      </c>
      <c r="AP5" t="n">
        <v>17</v>
      </c>
      <c r="AQ5">
        <f>18+9</f>
        <v/>
      </c>
      <c r="AR5">
        <f>18+10</f>
        <v/>
      </c>
      <c r="AS5" t="n">
        <v>7</v>
      </c>
    </row>
    <row r="6">
      <c r="A6" t="inlineStr">
        <is>
          <t>R4</t>
        </is>
      </c>
      <c r="B6">
        <f>18+14</f>
        <v/>
      </c>
      <c r="C6" t="n">
        <v>3</v>
      </c>
      <c r="D6" t="n">
        <v>18</v>
      </c>
      <c r="E6">
        <f>18+6</f>
        <v/>
      </c>
      <c r="G6">
        <f>18+10</f>
        <v/>
      </c>
      <c r="H6" t="n">
        <v>8</v>
      </c>
      <c r="I6" t="n">
        <v>14</v>
      </c>
      <c r="J6">
        <f>18+2</f>
        <v/>
      </c>
      <c r="L6">
        <f>18+18</f>
        <v/>
      </c>
      <c r="M6" t="n">
        <v>4</v>
      </c>
      <c r="N6" t="n">
        <v>10</v>
      </c>
      <c r="O6">
        <f>18+7</f>
        <v/>
      </c>
      <c r="Q6">
        <f>18+13</f>
        <v/>
      </c>
      <c r="R6" t="n">
        <v>2</v>
      </c>
      <c r="S6" t="n">
        <v>17</v>
      </c>
      <c r="T6">
        <f>18+5</f>
        <v/>
      </c>
      <c r="V6">
        <f>18+12</f>
        <v/>
      </c>
      <c r="W6" t="n">
        <v>7</v>
      </c>
      <c r="X6" t="n">
        <v>13</v>
      </c>
      <c r="Y6">
        <f>18+1</f>
        <v/>
      </c>
      <c r="AA6">
        <f>18+17</f>
        <v/>
      </c>
      <c r="AB6" t="n">
        <v>6</v>
      </c>
      <c r="AC6" t="n">
        <v>12</v>
      </c>
      <c r="AD6">
        <f>18+9</f>
        <v/>
      </c>
      <c r="AF6">
        <f>18+15</f>
        <v/>
      </c>
      <c r="AG6" t="n">
        <v>1</v>
      </c>
      <c r="AH6" t="n">
        <v>16</v>
      </c>
      <c r="AI6">
        <f>18+4</f>
        <v/>
      </c>
      <c r="AK6">
        <f>18+11</f>
        <v/>
      </c>
      <c r="AL6" t="n">
        <v>9</v>
      </c>
      <c r="AM6" t="n">
        <v>15</v>
      </c>
      <c r="AN6">
        <f>18+3</f>
        <v/>
      </c>
      <c r="AP6">
        <f>18+16</f>
        <v/>
      </c>
      <c r="AQ6" t="n">
        <v>5</v>
      </c>
      <c r="AR6" t="n">
        <v>11</v>
      </c>
      <c r="AS6">
        <f>18+8</f>
        <v/>
      </c>
    </row>
    <row r="7">
      <c r="A7" t="inlineStr">
        <is>
          <t>R5</t>
        </is>
      </c>
      <c r="B7" t="n">
        <v>8</v>
      </c>
      <c r="C7" t="n">
        <v>13</v>
      </c>
      <c r="D7">
        <f>18+3</f>
        <v/>
      </c>
      <c r="E7">
        <f>18+16</f>
        <v/>
      </c>
      <c r="G7" t="n">
        <v>4</v>
      </c>
      <c r="H7" t="n">
        <v>12</v>
      </c>
      <c r="I7">
        <f>18+8</f>
        <v/>
      </c>
      <c r="J7">
        <f>18+15</f>
        <v/>
      </c>
      <c r="L7" t="n">
        <v>3</v>
      </c>
      <c r="M7" t="n">
        <v>17</v>
      </c>
      <c r="N7">
        <f>18+4</f>
        <v/>
      </c>
      <c r="O7">
        <f>18+11</f>
        <v/>
      </c>
      <c r="Q7" t="n">
        <v>7</v>
      </c>
      <c r="R7" t="n">
        <v>15</v>
      </c>
      <c r="S7">
        <f>18+2</f>
        <v/>
      </c>
      <c r="T7">
        <f>18+18</f>
        <v/>
      </c>
      <c r="V7" t="n">
        <v>6</v>
      </c>
      <c r="W7" t="n">
        <v>11</v>
      </c>
      <c r="X7">
        <f>18+7</f>
        <v/>
      </c>
      <c r="Y7">
        <f>18+14</f>
        <v/>
      </c>
      <c r="AA7" t="n">
        <v>2</v>
      </c>
      <c r="AB7" t="n">
        <v>16</v>
      </c>
      <c r="AC7">
        <f>18+6</f>
        <v/>
      </c>
      <c r="AD7">
        <f>18+10</f>
        <v/>
      </c>
      <c r="AF7" t="n">
        <v>9</v>
      </c>
      <c r="AG7" t="n">
        <v>14</v>
      </c>
      <c r="AH7">
        <f>18+1</f>
        <v/>
      </c>
      <c r="AI7">
        <f>18+17</f>
        <v/>
      </c>
      <c r="AK7" t="n">
        <v>5</v>
      </c>
      <c r="AL7" t="n">
        <v>10</v>
      </c>
      <c r="AM7">
        <f>18+9</f>
        <v/>
      </c>
      <c r="AN7">
        <f>18+13</f>
        <v/>
      </c>
      <c r="AP7" t="n">
        <v>1</v>
      </c>
      <c r="AQ7" t="n">
        <v>18</v>
      </c>
      <c r="AR7">
        <f>18+5</f>
        <v/>
      </c>
      <c r="AS7">
        <f>18+12</f>
        <v/>
      </c>
    </row>
    <row r="8">
      <c r="A8" t="inlineStr">
        <is>
          <t>R6</t>
        </is>
      </c>
      <c r="B8">
        <f>18+9</f>
        <v/>
      </c>
      <c r="C8">
        <f>18+12</f>
        <v/>
      </c>
      <c r="D8" t="n">
        <v>4</v>
      </c>
      <c r="E8" t="n">
        <v>11</v>
      </c>
      <c r="G8">
        <f>18+5</f>
        <v/>
      </c>
      <c r="H8">
        <f>18+17</f>
        <v/>
      </c>
      <c r="I8" t="n">
        <v>3</v>
      </c>
      <c r="J8" t="n">
        <v>16</v>
      </c>
      <c r="L8">
        <f>18+1</f>
        <v/>
      </c>
      <c r="M8">
        <f>18+13</f>
        <v/>
      </c>
      <c r="N8" t="n">
        <v>8</v>
      </c>
      <c r="O8" t="n">
        <v>15</v>
      </c>
      <c r="Q8">
        <f>18+8</f>
        <v/>
      </c>
      <c r="R8">
        <f>18+11</f>
        <v/>
      </c>
      <c r="S8" t="n">
        <v>6</v>
      </c>
      <c r="T8" t="n">
        <v>10</v>
      </c>
      <c r="V8">
        <f>18+4</f>
        <v/>
      </c>
      <c r="W8">
        <f>18+16</f>
        <v/>
      </c>
      <c r="X8" t="n">
        <v>2</v>
      </c>
      <c r="Y8" t="n">
        <v>18</v>
      </c>
      <c r="AA8">
        <f>18+3</f>
        <v/>
      </c>
      <c r="AB8">
        <f>18+15</f>
        <v/>
      </c>
      <c r="AC8" t="n">
        <v>7</v>
      </c>
      <c r="AD8" t="n">
        <v>14</v>
      </c>
      <c r="AF8">
        <f>18+7</f>
        <v/>
      </c>
      <c r="AG8">
        <f>18+10</f>
        <v/>
      </c>
      <c r="AH8" t="n">
        <v>5</v>
      </c>
      <c r="AI8" t="n">
        <v>12</v>
      </c>
      <c r="AK8">
        <f>18+6</f>
        <v/>
      </c>
      <c r="AL8">
        <f>18+18</f>
        <v/>
      </c>
      <c r="AM8" t="n">
        <v>1</v>
      </c>
      <c r="AN8" t="n">
        <v>17</v>
      </c>
      <c r="AP8">
        <f>18+2</f>
        <v/>
      </c>
      <c r="AQ8">
        <f>18+14</f>
        <v/>
      </c>
      <c r="AR8" t="n">
        <v>9</v>
      </c>
      <c r="AS8" t="n">
        <v>13</v>
      </c>
    </row>
    <row r="9">
      <c r="A9" t="inlineStr">
        <is>
          <t>R7</t>
        </is>
      </c>
      <c r="B9" t="n">
        <v>14</v>
      </c>
      <c r="C9">
        <f>18+8</f>
        <v/>
      </c>
      <c r="D9">
        <f>18+18</f>
        <v/>
      </c>
      <c r="E9" t="n">
        <v>2</v>
      </c>
      <c r="G9" t="n">
        <v>10</v>
      </c>
      <c r="H9">
        <f>18+4</f>
        <v/>
      </c>
      <c r="I9">
        <f>18+14</f>
        <v/>
      </c>
      <c r="J9" t="n">
        <v>7</v>
      </c>
      <c r="L9" t="n">
        <v>18</v>
      </c>
      <c r="M9">
        <f>18+3</f>
        <v/>
      </c>
      <c r="N9">
        <f>18+10</f>
        <v/>
      </c>
      <c r="O9" t="n">
        <v>6</v>
      </c>
      <c r="Q9" t="n">
        <v>13</v>
      </c>
      <c r="R9">
        <f>18+7</f>
        <v/>
      </c>
      <c r="S9">
        <f>18+17</f>
        <v/>
      </c>
      <c r="T9" t="n">
        <v>1</v>
      </c>
      <c r="V9" t="n">
        <v>12</v>
      </c>
      <c r="W9">
        <f>18+6</f>
        <v/>
      </c>
      <c r="X9">
        <f>18+13</f>
        <v/>
      </c>
      <c r="Y9" t="n">
        <v>9</v>
      </c>
      <c r="AA9" t="n">
        <v>17</v>
      </c>
      <c r="AB9">
        <f>18+2</f>
        <v/>
      </c>
      <c r="AC9">
        <f>18+12</f>
        <v/>
      </c>
      <c r="AD9" t="n">
        <v>5</v>
      </c>
      <c r="AF9" t="n">
        <v>15</v>
      </c>
      <c r="AG9">
        <f>18+9</f>
        <v/>
      </c>
      <c r="AH9">
        <f>18+16</f>
        <v/>
      </c>
      <c r="AI9" t="n">
        <v>3</v>
      </c>
      <c r="AK9" t="n">
        <v>11</v>
      </c>
      <c r="AL9">
        <f>18+5</f>
        <v/>
      </c>
      <c r="AM9">
        <f>18+15</f>
        <v/>
      </c>
      <c r="AN9" t="n">
        <v>8</v>
      </c>
      <c r="AP9" t="n">
        <v>16</v>
      </c>
      <c r="AQ9">
        <f>18+1</f>
        <v/>
      </c>
      <c r="AR9">
        <f>18+11</f>
        <v/>
      </c>
      <c r="AS9" t="n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"/>
  <sheetViews>
    <sheetView zoomScaleNormal="100" workbookViewId="0">
      <selection activeCell="A1" sqref="A1"/>
    </sheetView>
  </sheetViews>
  <sheetFormatPr baseColWidth="8" defaultColWidth="4.285156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4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4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4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4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4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4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4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4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4" customWidth="1" min="46" max="46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</row>
    <row r="3">
      <c r="A3" t="inlineStr">
        <is>
          <t>R1</t>
        </is>
      </c>
      <c r="B3" t="n">
        <v>6</v>
      </c>
      <c r="C3" t="n">
        <v>11</v>
      </c>
      <c r="D3">
        <f>20+4</f>
        <v/>
      </c>
      <c r="E3">
        <f>20+20</f>
        <v/>
      </c>
      <c r="G3" t="n">
        <v>9</v>
      </c>
      <c r="H3" t="n">
        <v>13</v>
      </c>
      <c r="I3">
        <f>20+3</f>
        <v/>
      </c>
      <c r="J3">
        <f>20+16</f>
        <v/>
      </c>
      <c r="L3" t="n">
        <v>5</v>
      </c>
      <c r="M3" t="n">
        <v>16</v>
      </c>
      <c r="N3">
        <f>20+7</f>
        <v/>
      </c>
      <c r="O3">
        <f>20+19</f>
        <v/>
      </c>
      <c r="Q3" t="n">
        <v>10</v>
      </c>
      <c r="R3" t="n">
        <v>18</v>
      </c>
      <c r="S3">
        <f>20+6</f>
        <v/>
      </c>
      <c r="T3">
        <f>20+14</f>
        <v/>
      </c>
      <c r="V3" t="n">
        <v>7</v>
      </c>
      <c r="W3" t="n">
        <v>19</v>
      </c>
      <c r="X3">
        <f>20+2</f>
        <v/>
      </c>
      <c r="Y3">
        <f>20+13</f>
        <v/>
      </c>
      <c r="AA3" t="n">
        <v>1</v>
      </c>
      <c r="AB3" t="n">
        <v>14</v>
      </c>
      <c r="AC3">
        <f>20+10</f>
        <v/>
      </c>
      <c r="AD3">
        <f>20+11</f>
        <v/>
      </c>
      <c r="AF3" t="n">
        <v>3</v>
      </c>
      <c r="AG3" t="n">
        <v>15</v>
      </c>
      <c r="AH3">
        <f>20+9</f>
        <v/>
      </c>
      <c r="AI3">
        <f>20+18</f>
        <v/>
      </c>
      <c r="AK3" t="n">
        <v>8</v>
      </c>
      <c r="AL3" t="n">
        <v>20</v>
      </c>
      <c r="AM3">
        <f>20+8</f>
        <v/>
      </c>
      <c r="AN3">
        <f>20+17</f>
        <v/>
      </c>
      <c r="AP3" t="n">
        <v>4</v>
      </c>
      <c r="AQ3" t="n">
        <v>12</v>
      </c>
      <c r="AR3">
        <f>20+5</f>
        <v/>
      </c>
      <c r="AS3">
        <f>20+12</f>
        <v/>
      </c>
      <c r="AU3" t="n">
        <v>2</v>
      </c>
      <c r="AV3" t="n">
        <v>17</v>
      </c>
      <c r="AW3">
        <f>20+1</f>
        <v/>
      </c>
      <c r="AX3">
        <f>20+15</f>
        <v/>
      </c>
    </row>
    <row r="4">
      <c r="A4" t="inlineStr">
        <is>
          <t>R2</t>
        </is>
      </c>
      <c r="B4">
        <f>20+7</f>
        <v/>
      </c>
      <c r="C4">
        <f>20+11</f>
        <v/>
      </c>
      <c r="D4" t="n">
        <v>10</v>
      </c>
      <c r="E4" t="n">
        <v>15</v>
      </c>
      <c r="G4">
        <f>20+1</f>
        <v/>
      </c>
      <c r="H4">
        <f>20+20</f>
        <v/>
      </c>
      <c r="I4" t="n">
        <v>7</v>
      </c>
      <c r="J4" t="n">
        <v>12</v>
      </c>
      <c r="L4">
        <f>20+4</f>
        <v/>
      </c>
      <c r="M4">
        <f>20+17</f>
        <v/>
      </c>
      <c r="N4" t="n">
        <v>9</v>
      </c>
      <c r="O4" t="n">
        <v>14</v>
      </c>
      <c r="Q4">
        <f>20+8</f>
        <v/>
      </c>
      <c r="R4">
        <f>20+19</f>
        <v/>
      </c>
      <c r="S4" t="n">
        <v>6</v>
      </c>
      <c r="T4" t="n">
        <v>17</v>
      </c>
      <c r="V4">
        <f>20+5</f>
        <v/>
      </c>
      <c r="W4">
        <f>20+18</f>
        <v/>
      </c>
      <c r="X4" t="n">
        <v>5</v>
      </c>
      <c r="Y4" t="n">
        <v>20</v>
      </c>
      <c r="AA4">
        <f>20+3</f>
        <v/>
      </c>
      <c r="AB4">
        <f>20+14</f>
        <v/>
      </c>
      <c r="AC4" t="n">
        <v>8</v>
      </c>
      <c r="AD4" t="n">
        <v>19</v>
      </c>
      <c r="AF4">
        <f>20+10</f>
        <v/>
      </c>
      <c r="AG4">
        <f>20+12</f>
        <v/>
      </c>
      <c r="AH4" t="n">
        <v>2</v>
      </c>
      <c r="AI4" t="n">
        <v>11</v>
      </c>
      <c r="AK4">
        <f>20+9</f>
        <v/>
      </c>
      <c r="AL4">
        <f>20+15</f>
        <v/>
      </c>
      <c r="AM4" t="n">
        <v>4</v>
      </c>
      <c r="AN4" t="n">
        <v>16</v>
      </c>
      <c r="AP4">
        <f>20+6</f>
        <v/>
      </c>
      <c r="AQ4">
        <f>20+13</f>
        <v/>
      </c>
      <c r="AR4" t="n">
        <v>1</v>
      </c>
      <c r="AS4" t="n">
        <v>13</v>
      </c>
      <c r="AU4">
        <f>20+2</f>
        <v/>
      </c>
      <c r="AV4">
        <f>20+16</f>
        <v/>
      </c>
      <c r="AW4" t="n">
        <v>3</v>
      </c>
      <c r="AX4" t="n">
        <v>18</v>
      </c>
    </row>
    <row r="5">
      <c r="A5" t="inlineStr">
        <is>
          <t>R3</t>
        </is>
      </c>
      <c r="B5" t="n">
        <v>18</v>
      </c>
      <c r="C5">
        <f>20+5</f>
        <v/>
      </c>
      <c r="D5">
        <f>20+19</f>
        <v/>
      </c>
      <c r="E5" t="n">
        <v>7</v>
      </c>
      <c r="G5" t="n">
        <v>16</v>
      </c>
      <c r="H5">
        <f>20+8</f>
        <v/>
      </c>
      <c r="I5">
        <f>20+12</f>
        <v/>
      </c>
      <c r="J5" t="n">
        <v>10</v>
      </c>
      <c r="L5" t="n">
        <v>13</v>
      </c>
      <c r="M5">
        <f>20+2</f>
        <v/>
      </c>
      <c r="N5">
        <f>20+20</f>
        <v/>
      </c>
      <c r="O5" t="n">
        <v>8</v>
      </c>
      <c r="Q5" t="n">
        <v>11</v>
      </c>
      <c r="R5">
        <f>20+1</f>
        <v/>
      </c>
      <c r="S5">
        <f>20+18</f>
        <v/>
      </c>
      <c r="T5" t="n">
        <v>9</v>
      </c>
      <c r="V5" t="n">
        <v>17</v>
      </c>
      <c r="W5">
        <f>20+9</f>
        <v/>
      </c>
      <c r="X5">
        <f>20+16</f>
        <v/>
      </c>
      <c r="Y5" t="n">
        <v>1</v>
      </c>
      <c r="AA5" t="n">
        <v>20</v>
      </c>
      <c r="AB5">
        <f>20+6</f>
        <v/>
      </c>
      <c r="AC5">
        <f>20+15</f>
        <v/>
      </c>
      <c r="AD5" t="n">
        <v>6</v>
      </c>
      <c r="AF5" t="n">
        <v>19</v>
      </c>
      <c r="AG5">
        <f>20+4</f>
        <v/>
      </c>
      <c r="AH5">
        <f>20+11</f>
        <v/>
      </c>
      <c r="AI5" t="n">
        <v>5</v>
      </c>
      <c r="AK5" t="n">
        <v>12</v>
      </c>
      <c r="AL5">
        <f>20+10</f>
        <v/>
      </c>
      <c r="AM5">
        <f>20+13</f>
        <v/>
      </c>
      <c r="AN5" t="n">
        <v>3</v>
      </c>
      <c r="AP5" t="n">
        <v>14</v>
      </c>
      <c r="AQ5">
        <f>20+7</f>
        <v/>
      </c>
      <c r="AR5">
        <f>20+14</f>
        <v/>
      </c>
      <c r="AS5" t="n">
        <v>2</v>
      </c>
      <c r="AU5" t="n">
        <v>15</v>
      </c>
      <c r="AV5">
        <f>20+3</f>
        <v/>
      </c>
      <c r="AW5">
        <f>20+17</f>
        <v/>
      </c>
      <c r="AX5" t="n">
        <v>4</v>
      </c>
    </row>
    <row r="6">
      <c r="A6" t="inlineStr">
        <is>
          <t>R4</t>
        </is>
      </c>
      <c r="B6">
        <f>20+15</f>
        <v/>
      </c>
      <c r="C6" t="n">
        <v>9</v>
      </c>
      <c r="D6" t="n">
        <v>12</v>
      </c>
      <c r="E6">
        <f>20+2</f>
        <v/>
      </c>
      <c r="G6">
        <f>20+19</f>
        <v/>
      </c>
      <c r="H6" t="n">
        <v>8</v>
      </c>
      <c r="I6" t="n">
        <v>15</v>
      </c>
      <c r="J6">
        <f>20+6</f>
        <v/>
      </c>
      <c r="L6">
        <f>20+13</f>
        <v/>
      </c>
      <c r="M6" t="n">
        <v>10</v>
      </c>
      <c r="N6" t="n">
        <v>17</v>
      </c>
      <c r="O6">
        <f>20+5</f>
        <v/>
      </c>
      <c r="Q6">
        <f>20+20</f>
        <v/>
      </c>
      <c r="R6" t="n">
        <v>5</v>
      </c>
      <c r="S6" t="n">
        <v>14</v>
      </c>
      <c r="T6">
        <f>20+3</f>
        <v/>
      </c>
      <c r="V6">
        <f>20+14</f>
        <v/>
      </c>
      <c r="W6" t="n">
        <v>4</v>
      </c>
      <c r="X6" t="n">
        <v>13</v>
      </c>
      <c r="Y6">
        <f>20+10</f>
        <v/>
      </c>
      <c r="AA6">
        <f>20+17</f>
        <v/>
      </c>
      <c r="AB6" t="n">
        <v>2</v>
      </c>
      <c r="AC6" t="n">
        <v>18</v>
      </c>
      <c r="AD6">
        <f>20+9</f>
        <v/>
      </c>
      <c r="AF6">
        <f>20+16</f>
        <v/>
      </c>
      <c r="AG6" t="n">
        <v>7</v>
      </c>
      <c r="AH6" t="n">
        <v>20</v>
      </c>
      <c r="AI6">
        <f>20+7</f>
        <v/>
      </c>
      <c r="AK6">
        <f>20+12</f>
        <v/>
      </c>
      <c r="AL6" t="n">
        <v>6</v>
      </c>
      <c r="AM6" t="n">
        <v>19</v>
      </c>
      <c r="AN6">
        <f>20+1</f>
        <v/>
      </c>
      <c r="AP6">
        <f>20+11</f>
        <v/>
      </c>
      <c r="AQ6" t="n">
        <v>3</v>
      </c>
      <c r="AR6" t="n">
        <v>11</v>
      </c>
      <c r="AS6">
        <f>20+8</f>
        <v/>
      </c>
      <c r="AU6">
        <f>20+18</f>
        <v/>
      </c>
      <c r="AV6" t="n">
        <v>1</v>
      </c>
      <c r="AW6" t="n">
        <v>16</v>
      </c>
      <c r="AX6">
        <f>20+4</f>
        <v/>
      </c>
    </row>
    <row r="7">
      <c r="A7" t="inlineStr">
        <is>
          <t>R5</t>
        </is>
      </c>
      <c r="B7" t="n">
        <v>3</v>
      </c>
      <c r="C7" t="n">
        <v>19</v>
      </c>
      <c r="D7">
        <f>20+6</f>
        <v/>
      </c>
      <c r="E7">
        <f>20+17</f>
        <v/>
      </c>
      <c r="G7" t="n">
        <v>5</v>
      </c>
      <c r="H7" t="n">
        <v>18</v>
      </c>
      <c r="I7">
        <f>20+10</f>
        <v/>
      </c>
      <c r="J7">
        <f>20+15</f>
        <v/>
      </c>
      <c r="L7" t="n">
        <v>7</v>
      </c>
      <c r="M7" t="n">
        <v>11</v>
      </c>
      <c r="N7">
        <f>20+9</f>
        <v/>
      </c>
      <c r="O7">
        <f>20+14</f>
        <v/>
      </c>
      <c r="Q7" t="n">
        <v>4</v>
      </c>
      <c r="R7" t="n">
        <v>20</v>
      </c>
      <c r="S7">
        <f>20+4</f>
        <v/>
      </c>
      <c r="T7">
        <f>20+13</f>
        <v/>
      </c>
      <c r="V7" t="n">
        <v>2</v>
      </c>
      <c r="W7" t="n">
        <v>15</v>
      </c>
      <c r="X7">
        <f>20+8</f>
        <v/>
      </c>
      <c r="Y7">
        <f>20+20</f>
        <v/>
      </c>
      <c r="AA7" t="n">
        <v>9</v>
      </c>
      <c r="AB7" t="n">
        <v>17</v>
      </c>
      <c r="AC7">
        <f>20+7</f>
        <v/>
      </c>
      <c r="AD7">
        <f>20+12</f>
        <v/>
      </c>
      <c r="AF7" t="n">
        <v>1</v>
      </c>
      <c r="AG7" t="n">
        <v>12</v>
      </c>
      <c r="AH7">
        <f>20+3</f>
        <v/>
      </c>
      <c r="AI7">
        <f>20+19</f>
        <v/>
      </c>
      <c r="AK7" t="n">
        <v>10</v>
      </c>
      <c r="AL7" t="n">
        <v>14</v>
      </c>
      <c r="AM7">
        <f>20+2</f>
        <v/>
      </c>
      <c r="AN7">
        <f>20+18</f>
        <v/>
      </c>
      <c r="AP7" t="n">
        <v>8</v>
      </c>
      <c r="AQ7" t="n">
        <v>16</v>
      </c>
      <c r="AR7">
        <f>20+1</f>
        <v/>
      </c>
      <c r="AS7">
        <f>20+16</f>
        <v/>
      </c>
      <c r="AU7" t="n">
        <v>6</v>
      </c>
      <c r="AV7" t="n">
        <v>13</v>
      </c>
      <c r="AW7">
        <f>20+5</f>
        <v/>
      </c>
      <c r="AX7">
        <f>20+11</f>
        <v/>
      </c>
    </row>
    <row r="8">
      <c r="A8" t="inlineStr">
        <is>
          <t>R6</t>
        </is>
      </c>
      <c r="B8">
        <f>20+1</f>
        <v/>
      </c>
      <c r="C8">
        <f>20+14</f>
        <v/>
      </c>
      <c r="D8" t="n">
        <v>1</v>
      </c>
      <c r="E8" t="n">
        <v>20</v>
      </c>
      <c r="G8">
        <f>20+7</f>
        <v/>
      </c>
      <c r="H8">
        <f>20+18</f>
        <v/>
      </c>
      <c r="I8" t="n">
        <v>4</v>
      </c>
      <c r="J8" t="n">
        <v>19</v>
      </c>
      <c r="L8">
        <f>20+10</f>
        <v/>
      </c>
      <c r="M8">
        <f>20+16</f>
        <v/>
      </c>
      <c r="N8" t="n">
        <v>6</v>
      </c>
      <c r="O8" t="n">
        <v>15</v>
      </c>
      <c r="Q8">
        <f>20+9</f>
        <v/>
      </c>
      <c r="R8">
        <f>20+11</f>
        <v/>
      </c>
      <c r="S8" t="n">
        <v>8</v>
      </c>
      <c r="T8" t="n">
        <v>12</v>
      </c>
      <c r="V8">
        <f>20+3</f>
        <v/>
      </c>
      <c r="W8">
        <f>20+15</f>
        <v/>
      </c>
      <c r="X8" t="n">
        <v>10</v>
      </c>
      <c r="Y8" t="n">
        <v>11</v>
      </c>
      <c r="AA8">
        <f>20+5</f>
        <v/>
      </c>
      <c r="AB8">
        <f>20+20</f>
        <v/>
      </c>
      <c r="AC8" t="n">
        <v>3</v>
      </c>
      <c r="AD8" t="n">
        <v>16</v>
      </c>
      <c r="AF8">
        <f>20+8</f>
        <v/>
      </c>
      <c r="AG8">
        <f>20+13</f>
        <v/>
      </c>
      <c r="AH8" t="n">
        <v>9</v>
      </c>
      <c r="AI8" t="n">
        <v>18</v>
      </c>
      <c r="AK8">
        <f>20+4</f>
        <v/>
      </c>
      <c r="AL8">
        <f>20+19</f>
        <v/>
      </c>
      <c r="AM8" t="n">
        <v>2</v>
      </c>
      <c r="AN8" t="n">
        <v>13</v>
      </c>
      <c r="AP8">
        <f>20+2</f>
        <v/>
      </c>
      <c r="AQ8">
        <f>20+17</f>
        <v/>
      </c>
      <c r="AR8" t="n">
        <v>5</v>
      </c>
      <c r="AS8" t="n">
        <v>17</v>
      </c>
      <c r="AU8">
        <f>20+6</f>
        <v/>
      </c>
      <c r="AV8">
        <f>20+12</f>
        <v/>
      </c>
      <c r="AW8" t="n">
        <v>7</v>
      </c>
      <c r="AX8" t="n">
        <v>14</v>
      </c>
    </row>
    <row r="9">
      <c r="A9" t="inlineStr">
        <is>
          <t>R7</t>
        </is>
      </c>
      <c r="B9" t="n">
        <v>13</v>
      </c>
      <c r="C9">
        <f>20+9</f>
        <v/>
      </c>
      <c r="D9">
        <f>20+12</f>
        <v/>
      </c>
      <c r="E9" t="n">
        <v>5</v>
      </c>
      <c r="G9" t="n">
        <v>20</v>
      </c>
      <c r="H9">
        <f>20+2</f>
        <v/>
      </c>
      <c r="I9">
        <f>20+11</f>
        <v/>
      </c>
      <c r="J9" t="n">
        <v>2</v>
      </c>
      <c r="L9" t="n">
        <v>19</v>
      </c>
      <c r="M9">
        <f>20+8</f>
        <v/>
      </c>
      <c r="N9">
        <f>20+15</f>
        <v/>
      </c>
      <c r="O9" t="n">
        <v>1</v>
      </c>
      <c r="Q9" t="n">
        <v>16</v>
      </c>
      <c r="R9">
        <f>20+10</f>
        <v/>
      </c>
      <c r="S9">
        <f>20+17</f>
        <v/>
      </c>
      <c r="T9" t="n">
        <v>7</v>
      </c>
      <c r="V9" t="n">
        <v>14</v>
      </c>
      <c r="W9">
        <f>20+1</f>
        <v/>
      </c>
      <c r="X9">
        <f>20+19</f>
        <v/>
      </c>
      <c r="Y9" t="n">
        <v>3</v>
      </c>
      <c r="AA9" t="n">
        <v>12</v>
      </c>
      <c r="AB9">
        <f>20+4</f>
        <v/>
      </c>
      <c r="AC9">
        <f>20+16</f>
        <v/>
      </c>
      <c r="AD9" t="n">
        <v>10</v>
      </c>
      <c r="AF9" t="n">
        <v>17</v>
      </c>
      <c r="AG9">
        <f>20+6</f>
        <v/>
      </c>
      <c r="AH9">
        <f>20+20</f>
        <v/>
      </c>
      <c r="AI9" t="n">
        <v>4</v>
      </c>
      <c r="AK9" t="n">
        <v>15</v>
      </c>
      <c r="AL9">
        <f>20+5</f>
        <v/>
      </c>
      <c r="AM9">
        <f>20+14</f>
        <v/>
      </c>
      <c r="AN9" t="n">
        <v>9</v>
      </c>
      <c r="AP9" t="n">
        <v>18</v>
      </c>
      <c r="AQ9">
        <f>20+3</f>
        <v/>
      </c>
      <c r="AR9">
        <f>20+18</f>
        <v/>
      </c>
      <c r="AS9" t="n">
        <v>6</v>
      </c>
      <c r="AU9" t="n">
        <v>11</v>
      </c>
      <c r="AV9">
        <f>20+7</f>
        <v/>
      </c>
      <c r="AW9">
        <f>20+13</f>
        <v/>
      </c>
      <c r="AX9" t="n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9"/>
  <sheetViews>
    <sheetView zoomScaleNormal="100" workbookViewId="0">
      <selection activeCell="A1" sqref="A1"/>
    </sheetView>
  </sheetViews>
  <sheetFormatPr baseColWidth="8" defaultColWidth="4.425781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4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4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4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4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4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4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4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4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4" customWidth="1" min="46" max="46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  <col width="4" customWidth="1" min="51" max="51"/>
    <col width="8.28515625" bestFit="1" customWidth="1" min="52" max="52"/>
    <col width="6.140625" bestFit="1" customWidth="1" min="53" max="53"/>
    <col width="5.5703125" bestFit="1" customWidth="1" min="54" max="54"/>
    <col width="6.140625" bestFit="1" customWidth="1" min="55" max="55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  <c r="AZ1" t="inlineStr">
        <is>
          <t>Table 11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  <c r="AZ2" t="inlineStr">
        <is>
          <t>East</t>
        </is>
      </c>
      <c r="BA2" t="inlineStr">
        <is>
          <t>South</t>
        </is>
      </c>
      <c r="BB2" t="inlineStr">
        <is>
          <t>West</t>
        </is>
      </c>
      <c r="BC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12</v>
      </c>
      <c r="D3">
        <f>22+1</f>
        <v/>
      </c>
      <c r="E3">
        <f>22+12</f>
        <v/>
      </c>
      <c r="G3" t="n">
        <v>11</v>
      </c>
      <c r="H3" t="n">
        <v>22</v>
      </c>
      <c r="I3">
        <f>22+11</f>
        <v/>
      </c>
      <c r="J3">
        <f>22+22</f>
        <v/>
      </c>
      <c r="L3" t="n">
        <v>10</v>
      </c>
      <c r="M3" t="n">
        <v>21</v>
      </c>
      <c r="N3">
        <f>22+10</f>
        <v/>
      </c>
      <c r="O3">
        <f>22+21</f>
        <v/>
      </c>
      <c r="Q3" t="n">
        <v>9</v>
      </c>
      <c r="R3" t="n">
        <v>20</v>
      </c>
      <c r="S3">
        <f>22+9</f>
        <v/>
      </c>
      <c r="T3">
        <f>22+20</f>
        <v/>
      </c>
      <c r="V3" t="n">
        <v>8</v>
      </c>
      <c r="W3" t="n">
        <v>19</v>
      </c>
      <c r="X3">
        <f>22+8</f>
        <v/>
      </c>
      <c r="Y3">
        <f>22+19</f>
        <v/>
      </c>
      <c r="AA3" t="n">
        <v>7</v>
      </c>
      <c r="AB3" t="n">
        <v>18</v>
      </c>
      <c r="AC3">
        <f>22+7</f>
        <v/>
      </c>
      <c r="AD3">
        <f>22+18</f>
        <v/>
      </c>
      <c r="AF3" t="n">
        <v>6</v>
      </c>
      <c r="AG3" t="n">
        <v>17</v>
      </c>
      <c r="AH3">
        <f>22+6</f>
        <v/>
      </c>
      <c r="AI3">
        <f>22+17</f>
        <v/>
      </c>
      <c r="AK3" t="n">
        <v>5</v>
      </c>
      <c r="AL3" t="n">
        <v>16</v>
      </c>
      <c r="AM3">
        <f>22+5</f>
        <v/>
      </c>
      <c r="AN3">
        <f>22+16</f>
        <v/>
      </c>
      <c r="AP3" t="n">
        <v>4</v>
      </c>
      <c r="AQ3" t="n">
        <v>15</v>
      </c>
      <c r="AR3">
        <f>22+4</f>
        <v/>
      </c>
      <c r="AS3">
        <f>22+15</f>
        <v/>
      </c>
      <c r="AU3" t="n">
        <v>3</v>
      </c>
      <c r="AV3" t="n">
        <v>14</v>
      </c>
      <c r="AW3">
        <f>22+3</f>
        <v/>
      </c>
      <c r="AX3">
        <f>22+14</f>
        <v/>
      </c>
      <c r="AZ3" t="n">
        <v>2</v>
      </c>
      <c r="BA3" t="n">
        <v>13</v>
      </c>
      <c r="BB3">
        <f>22+2</f>
        <v/>
      </c>
      <c r="BC3">
        <f>22+13</f>
        <v/>
      </c>
    </row>
    <row r="4">
      <c r="A4" t="inlineStr">
        <is>
          <t>R2</t>
        </is>
      </c>
      <c r="B4">
        <f>22+9</f>
        <v/>
      </c>
      <c r="C4">
        <f>22+19</f>
        <v/>
      </c>
      <c r="D4" t="n">
        <v>11</v>
      </c>
      <c r="E4" t="n">
        <v>21</v>
      </c>
      <c r="G4">
        <f>22+8</f>
        <v/>
      </c>
      <c r="H4">
        <f>22+18</f>
        <v/>
      </c>
      <c r="I4" t="n">
        <v>10</v>
      </c>
      <c r="J4" t="n">
        <v>20</v>
      </c>
      <c r="L4">
        <f>22+7</f>
        <v/>
      </c>
      <c r="M4">
        <f>22+17</f>
        <v/>
      </c>
      <c r="N4" t="n">
        <v>9</v>
      </c>
      <c r="O4" t="n">
        <v>19</v>
      </c>
      <c r="Q4">
        <f>22+6</f>
        <v/>
      </c>
      <c r="R4">
        <f>22+16</f>
        <v/>
      </c>
      <c r="S4" t="n">
        <v>8</v>
      </c>
      <c r="T4" t="n">
        <v>18</v>
      </c>
      <c r="V4">
        <f>22+5</f>
        <v/>
      </c>
      <c r="W4">
        <f>22+15</f>
        <v/>
      </c>
      <c r="X4" t="n">
        <v>7</v>
      </c>
      <c r="Y4" t="n">
        <v>17</v>
      </c>
      <c r="AA4">
        <f>22+4</f>
        <v/>
      </c>
      <c r="AB4">
        <f>22+14</f>
        <v/>
      </c>
      <c r="AC4" t="n">
        <v>6</v>
      </c>
      <c r="AD4" t="n">
        <v>16</v>
      </c>
      <c r="AF4">
        <f>22+3</f>
        <v/>
      </c>
      <c r="AG4">
        <f>22+13</f>
        <v/>
      </c>
      <c r="AH4" t="n">
        <v>5</v>
      </c>
      <c r="AI4" t="n">
        <v>15</v>
      </c>
      <c r="AK4">
        <f>22+2</f>
        <v/>
      </c>
      <c r="AL4">
        <f>22+12</f>
        <v/>
      </c>
      <c r="AM4" t="n">
        <v>4</v>
      </c>
      <c r="AN4" t="n">
        <v>14</v>
      </c>
      <c r="AP4">
        <f>22+1</f>
        <v/>
      </c>
      <c r="AQ4">
        <f>22+22</f>
        <v/>
      </c>
      <c r="AR4" t="n">
        <v>3</v>
      </c>
      <c r="AS4" t="n">
        <v>13</v>
      </c>
      <c r="AU4">
        <f>22+11</f>
        <v/>
      </c>
      <c r="AV4">
        <f>22+21</f>
        <v/>
      </c>
      <c r="AW4" t="n">
        <v>2</v>
      </c>
      <c r="AX4" t="n">
        <v>12</v>
      </c>
      <c r="AZ4">
        <f>22+10</f>
        <v/>
      </c>
      <c r="BA4">
        <f>22+20</f>
        <v/>
      </c>
      <c r="BB4" t="n">
        <v>1</v>
      </c>
      <c r="BC4" t="n">
        <v>22</v>
      </c>
    </row>
    <row r="5">
      <c r="A5" t="inlineStr">
        <is>
          <t>R3</t>
        </is>
      </c>
      <c r="B5" t="n">
        <v>19</v>
      </c>
      <c r="C5">
        <f>22+6</f>
        <v/>
      </c>
      <c r="D5">
        <f>22+15</f>
        <v/>
      </c>
      <c r="E5" t="n">
        <v>10</v>
      </c>
      <c r="G5" t="n">
        <v>18</v>
      </c>
      <c r="H5">
        <f>22+5</f>
        <v/>
      </c>
      <c r="I5">
        <f>22+14</f>
        <v/>
      </c>
      <c r="J5" t="n">
        <v>9</v>
      </c>
      <c r="L5" t="n">
        <v>17</v>
      </c>
      <c r="M5">
        <f>22+4</f>
        <v/>
      </c>
      <c r="N5">
        <f>22+13</f>
        <v/>
      </c>
      <c r="O5" t="n">
        <v>8</v>
      </c>
      <c r="Q5" t="n">
        <v>16</v>
      </c>
      <c r="R5">
        <f>22+3</f>
        <v/>
      </c>
      <c r="S5">
        <f>22+12</f>
        <v/>
      </c>
      <c r="T5" t="n">
        <v>7</v>
      </c>
      <c r="V5" t="n">
        <v>15</v>
      </c>
      <c r="W5">
        <f>22+2</f>
        <v/>
      </c>
      <c r="X5">
        <f>22+22</f>
        <v/>
      </c>
      <c r="Y5" t="n">
        <v>6</v>
      </c>
      <c r="AA5" t="n">
        <v>14</v>
      </c>
      <c r="AB5">
        <f>22+1</f>
        <v/>
      </c>
      <c r="AC5">
        <f>22+21</f>
        <v/>
      </c>
      <c r="AD5" t="n">
        <v>5</v>
      </c>
      <c r="AF5" t="n">
        <v>13</v>
      </c>
      <c r="AG5">
        <f>22+11</f>
        <v/>
      </c>
      <c r="AH5">
        <f>22+20</f>
        <v/>
      </c>
      <c r="AI5" t="n">
        <v>4</v>
      </c>
      <c r="AK5" t="n">
        <v>12</v>
      </c>
      <c r="AL5">
        <f>22+10</f>
        <v/>
      </c>
      <c r="AM5">
        <f>22+19</f>
        <v/>
      </c>
      <c r="AN5" t="n">
        <v>3</v>
      </c>
      <c r="AP5" t="n">
        <v>22</v>
      </c>
      <c r="AQ5">
        <f>22+9</f>
        <v/>
      </c>
      <c r="AR5">
        <f>22+18</f>
        <v/>
      </c>
      <c r="AS5" t="n">
        <v>2</v>
      </c>
      <c r="AU5" t="n">
        <v>21</v>
      </c>
      <c r="AV5">
        <f>22+8</f>
        <v/>
      </c>
      <c r="AW5">
        <f>22+17</f>
        <v/>
      </c>
      <c r="AX5" t="n">
        <v>1</v>
      </c>
      <c r="AZ5" t="n">
        <v>20</v>
      </c>
      <c r="BA5">
        <f>22+7</f>
        <v/>
      </c>
      <c r="BB5">
        <f>22+16</f>
        <v/>
      </c>
      <c r="BC5" t="n">
        <v>11</v>
      </c>
    </row>
    <row r="6">
      <c r="A6" t="inlineStr">
        <is>
          <t>R4</t>
        </is>
      </c>
      <c r="B6">
        <f>22+22</f>
        <v/>
      </c>
      <c r="C6" t="n">
        <v>9</v>
      </c>
      <c r="D6" t="n">
        <v>17</v>
      </c>
      <c r="E6">
        <f>22+3</f>
        <v/>
      </c>
      <c r="G6">
        <f>22+21</f>
        <v/>
      </c>
      <c r="H6" t="n">
        <v>8</v>
      </c>
      <c r="I6" t="n">
        <v>16</v>
      </c>
      <c r="J6">
        <f>22+2</f>
        <v/>
      </c>
      <c r="L6">
        <f>22+20</f>
        <v/>
      </c>
      <c r="M6" t="n">
        <v>7</v>
      </c>
      <c r="N6" t="n">
        <v>15</v>
      </c>
      <c r="O6">
        <f>22+1</f>
        <v/>
      </c>
      <c r="Q6">
        <f>22+19</f>
        <v/>
      </c>
      <c r="R6" t="n">
        <v>6</v>
      </c>
      <c r="S6" t="n">
        <v>14</v>
      </c>
      <c r="T6">
        <f>22+11</f>
        <v/>
      </c>
      <c r="V6">
        <f>22+18</f>
        <v/>
      </c>
      <c r="W6" t="n">
        <v>5</v>
      </c>
      <c r="X6" t="n">
        <v>13</v>
      </c>
      <c r="Y6">
        <f>22+10</f>
        <v/>
      </c>
      <c r="AA6">
        <f>22+17</f>
        <v/>
      </c>
      <c r="AB6" t="n">
        <v>4</v>
      </c>
      <c r="AC6" t="n">
        <v>12</v>
      </c>
      <c r="AD6">
        <f>22+9</f>
        <v/>
      </c>
      <c r="AF6">
        <f>22+16</f>
        <v/>
      </c>
      <c r="AG6" t="n">
        <v>3</v>
      </c>
      <c r="AH6" t="n">
        <v>22</v>
      </c>
      <c r="AI6">
        <f>22+8</f>
        <v/>
      </c>
      <c r="AK6">
        <f>22+15</f>
        <v/>
      </c>
      <c r="AL6" t="n">
        <v>2</v>
      </c>
      <c r="AM6" t="n">
        <v>21</v>
      </c>
      <c r="AN6">
        <f>22+7</f>
        <v/>
      </c>
      <c r="AP6">
        <f>22+14</f>
        <v/>
      </c>
      <c r="AQ6" t="n">
        <v>1</v>
      </c>
      <c r="AR6" t="n">
        <v>20</v>
      </c>
      <c r="AS6">
        <f>22+6</f>
        <v/>
      </c>
      <c r="AU6">
        <f>22+13</f>
        <v/>
      </c>
      <c r="AV6" t="n">
        <v>11</v>
      </c>
      <c r="AW6" t="n">
        <v>19</v>
      </c>
      <c r="AX6">
        <f>22+5</f>
        <v/>
      </c>
      <c r="AZ6">
        <f>22+12</f>
        <v/>
      </c>
      <c r="BA6" t="n">
        <v>10</v>
      </c>
      <c r="BB6" t="n">
        <v>18</v>
      </c>
      <c r="BC6">
        <f>22+4</f>
        <v/>
      </c>
    </row>
    <row r="7">
      <c r="A7" t="inlineStr">
        <is>
          <t>R5</t>
        </is>
      </c>
      <c r="B7" t="n">
        <v>8</v>
      </c>
      <c r="C7" t="n">
        <v>15</v>
      </c>
      <c r="D7">
        <f>22+11</f>
        <v/>
      </c>
      <c r="E7">
        <f>22+18</f>
        <v/>
      </c>
      <c r="G7" t="n">
        <v>7</v>
      </c>
      <c r="H7" t="n">
        <v>14</v>
      </c>
      <c r="I7">
        <f>22+10</f>
        <v/>
      </c>
      <c r="J7">
        <f>22+17</f>
        <v/>
      </c>
      <c r="L7" t="n">
        <v>6</v>
      </c>
      <c r="M7" t="n">
        <v>13</v>
      </c>
      <c r="N7">
        <f>22+9</f>
        <v/>
      </c>
      <c r="O7">
        <f>22+16</f>
        <v/>
      </c>
      <c r="Q7" t="n">
        <v>5</v>
      </c>
      <c r="R7" t="n">
        <v>12</v>
      </c>
      <c r="S7">
        <f>22+8</f>
        <v/>
      </c>
      <c r="T7">
        <f>22+15</f>
        <v/>
      </c>
      <c r="V7" t="n">
        <v>4</v>
      </c>
      <c r="W7" t="n">
        <v>22</v>
      </c>
      <c r="X7">
        <f>22+7</f>
        <v/>
      </c>
      <c r="Y7">
        <f>22+14</f>
        <v/>
      </c>
      <c r="AA7" t="n">
        <v>3</v>
      </c>
      <c r="AB7" t="n">
        <v>21</v>
      </c>
      <c r="AC7">
        <f>22+6</f>
        <v/>
      </c>
      <c r="AD7">
        <f>22+13</f>
        <v/>
      </c>
      <c r="AF7" t="n">
        <v>2</v>
      </c>
      <c r="AG7" t="n">
        <v>20</v>
      </c>
      <c r="AH7">
        <f>22+5</f>
        <v/>
      </c>
      <c r="AI7">
        <f>22+12</f>
        <v/>
      </c>
      <c r="AK7" t="n">
        <v>1</v>
      </c>
      <c r="AL7" t="n">
        <v>19</v>
      </c>
      <c r="AM7">
        <f>22+4</f>
        <v/>
      </c>
      <c r="AN7">
        <f>22+22</f>
        <v/>
      </c>
      <c r="AP7" t="n">
        <v>11</v>
      </c>
      <c r="AQ7" t="n">
        <v>18</v>
      </c>
      <c r="AR7">
        <f>22+3</f>
        <v/>
      </c>
      <c r="AS7">
        <f>22+21</f>
        <v/>
      </c>
      <c r="AU7" t="n">
        <v>10</v>
      </c>
      <c r="AV7" t="n">
        <v>17</v>
      </c>
      <c r="AW7">
        <f>22+2</f>
        <v/>
      </c>
      <c r="AX7">
        <f>22+20</f>
        <v/>
      </c>
      <c r="AZ7" t="n">
        <v>9</v>
      </c>
      <c r="BA7" t="n">
        <v>16</v>
      </c>
      <c r="BB7">
        <f>22+1</f>
        <v/>
      </c>
      <c r="BC7">
        <f>22+19</f>
        <v/>
      </c>
    </row>
    <row r="8">
      <c r="A8" t="inlineStr">
        <is>
          <t>R6</t>
        </is>
      </c>
      <c r="B8">
        <f>22+8</f>
        <v/>
      </c>
      <c r="C8">
        <f>22+14</f>
        <v/>
      </c>
      <c r="D8" t="n">
        <v>7</v>
      </c>
      <c r="E8" t="n">
        <v>13</v>
      </c>
      <c r="G8">
        <f>22+7</f>
        <v/>
      </c>
      <c r="H8">
        <f>22+13</f>
        <v/>
      </c>
      <c r="I8" t="n">
        <v>6</v>
      </c>
      <c r="J8" t="n">
        <v>12</v>
      </c>
      <c r="L8">
        <f>22+6</f>
        <v/>
      </c>
      <c r="M8">
        <f>22+12</f>
        <v/>
      </c>
      <c r="N8" t="n">
        <v>5</v>
      </c>
      <c r="O8" t="n">
        <v>22</v>
      </c>
      <c r="Q8">
        <f>22+5</f>
        <v/>
      </c>
      <c r="R8">
        <f>22+22</f>
        <v/>
      </c>
      <c r="S8" t="n">
        <v>4</v>
      </c>
      <c r="T8" t="n">
        <v>21</v>
      </c>
      <c r="V8">
        <f>22+4</f>
        <v/>
      </c>
      <c r="W8">
        <f>22+21</f>
        <v/>
      </c>
      <c r="X8" t="n">
        <v>3</v>
      </c>
      <c r="Y8" t="n">
        <v>20</v>
      </c>
      <c r="AA8">
        <f>22+3</f>
        <v/>
      </c>
      <c r="AB8">
        <f>22+20</f>
        <v/>
      </c>
      <c r="AC8" t="n">
        <v>2</v>
      </c>
      <c r="AD8" t="n">
        <v>19</v>
      </c>
      <c r="AF8">
        <f>22+2</f>
        <v/>
      </c>
      <c r="AG8">
        <f>22+19</f>
        <v/>
      </c>
      <c r="AH8" t="n">
        <v>1</v>
      </c>
      <c r="AI8" t="n">
        <v>18</v>
      </c>
      <c r="AK8">
        <f>22+1</f>
        <v/>
      </c>
      <c r="AL8">
        <f>22+18</f>
        <v/>
      </c>
      <c r="AM8" t="n">
        <v>11</v>
      </c>
      <c r="AN8" t="n">
        <v>17</v>
      </c>
      <c r="AP8">
        <f>22+11</f>
        <v/>
      </c>
      <c r="AQ8">
        <f>22+17</f>
        <v/>
      </c>
      <c r="AR8" t="n">
        <v>10</v>
      </c>
      <c r="AS8" t="n">
        <v>16</v>
      </c>
      <c r="AU8">
        <f>22+10</f>
        <v/>
      </c>
      <c r="AV8">
        <f>22+16</f>
        <v/>
      </c>
      <c r="AW8" t="n">
        <v>9</v>
      </c>
      <c r="AX8" t="n">
        <v>15</v>
      </c>
      <c r="AZ8">
        <f>22+9</f>
        <v/>
      </c>
      <c r="BA8">
        <f>22+15</f>
        <v/>
      </c>
      <c r="BB8" t="n">
        <v>8</v>
      </c>
      <c r="BC8" t="n">
        <v>14</v>
      </c>
    </row>
    <row r="9">
      <c r="A9" t="inlineStr">
        <is>
          <t>R7</t>
        </is>
      </c>
      <c r="B9" t="n">
        <v>22</v>
      </c>
      <c r="C9">
        <f>22+5</f>
        <v/>
      </c>
      <c r="D9">
        <f>22+21</f>
        <v/>
      </c>
      <c r="E9" t="n">
        <v>6</v>
      </c>
      <c r="G9" t="n">
        <v>21</v>
      </c>
      <c r="H9">
        <f>22+4</f>
        <v/>
      </c>
      <c r="I9">
        <f>22+20</f>
        <v/>
      </c>
      <c r="J9" t="n">
        <v>5</v>
      </c>
      <c r="L9" t="n">
        <v>20</v>
      </c>
      <c r="M9">
        <f>22+3</f>
        <v/>
      </c>
      <c r="N9">
        <f>22+19</f>
        <v/>
      </c>
      <c r="O9" t="n">
        <v>4</v>
      </c>
      <c r="Q9" t="n">
        <v>19</v>
      </c>
      <c r="R9">
        <f>22+2</f>
        <v/>
      </c>
      <c r="S9">
        <f>22+18</f>
        <v/>
      </c>
      <c r="T9" t="n">
        <v>3</v>
      </c>
      <c r="V9" t="n">
        <v>18</v>
      </c>
      <c r="W9">
        <f>22+1</f>
        <v/>
      </c>
      <c r="X9">
        <f>22+17</f>
        <v/>
      </c>
      <c r="Y9" t="n">
        <v>2</v>
      </c>
      <c r="AA9" t="n">
        <v>17</v>
      </c>
      <c r="AB9">
        <f>22+11</f>
        <v/>
      </c>
      <c r="AC9">
        <f>22+16</f>
        <v/>
      </c>
      <c r="AD9" t="n">
        <v>1</v>
      </c>
      <c r="AF9" t="n">
        <v>16</v>
      </c>
      <c r="AG9">
        <f>22+10</f>
        <v/>
      </c>
      <c r="AH9">
        <f>22+15</f>
        <v/>
      </c>
      <c r="AI9" t="n">
        <v>11</v>
      </c>
      <c r="AK9" t="n">
        <v>15</v>
      </c>
      <c r="AL9">
        <f>22+9</f>
        <v/>
      </c>
      <c r="AM9">
        <f>22+14</f>
        <v/>
      </c>
      <c r="AN9" t="n">
        <v>10</v>
      </c>
      <c r="AP9" t="n">
        <v>14</v>
      </c>
      <c r="AQ9">
        <f>22+8</f>
        <v/>
      </c>
      <c r="AR9">
        <f>22+13</f>
        <v/>
      </c>
      <c r="AS9" t="n">
        <v>9</v>
      </c>
      <c r="AU9" t="n">
        <v>13</v>
      </c>
      <c r="AV9">
        <f>22+7</f>
        <v/>
      </c>
      <c r="AW9">
        <f>22+12</f>
        <v/>
      </c>
      <c r="AX9" t="n">
        <v>8</v>
      </c>
      <c r="AZ9" t="n">
        <v>12</v>
      </c>
      <c r="BA9">
        <f>22+6</f>
        <v/>
      </c>
      <c r="BB9">
        <f>22+22</f>
        <v/>
      </c>
      <c r="BC9" t="n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9"/>
  <sheetViews>
    <sheetView zoomScaleNormal="100" workbookViewId="0">
      <selection activeCell="A1" sqref="A1"/>
    </sheetView>
  </sheetViews>
  <sheetFormatPr baseColWidth="8" defaultColWidth="4.285156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4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4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4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4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4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4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4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4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4" customWidth="1" min="46" max="46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  <col width="4" customWidth="1" min="51" max="51"/>
    <col width="8.28515625" bestFit="1" customWidth="1" min="52" max="52"/>
    <col width="6.140625" bestFit="1" customWidth="1" min="53" max="53"/>
    <col width="5.5703125" bestFit="1" customWidth="1" min="54" max="54"/>
    <col width="6.140625" bestFit="1" customWidth="1" min="55" max="55"/>
    <col width="4" customWidth="1" min="56" max="56"/>
    <col width="8.28515625" bestFit="1" customWidth="1" min="57" max="57"/>
    <col width="6.140625" bestFit="1" customWidth="1" min="58" max="58"/>
    <col width="5.5703125" bestFit="1" customWidth="1" min="59" max="59"/>
    <col width="6.140625" bestFit="1" customWidth="1" min="60" max="60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  <c r="AZ1" t="inlineStr">
        <is>
          <t>Table 11</t>
        </is>
      </c>
      <c r="BE1" t="inlineStr">
        <is>
          <t>Table 12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  <c r="AZ2" t="inlineStr">
        <is>
          <t>East</t>
        </is>
      </c>
      <c r="BA2" t="inlineStr">
        <is>
          <t>South</t>
        </is>
      </c>
      <c r="BB2" t="inlineStr">
        <is>
          <t>West</t>
        </is>
      </c>
      <c r="BC2" t="inlineStr">
        <is>
          <t>North</t>
        </is>
      </c>
      <c r="BE2" t="inlineStr">
        <is>
          <t>East</t>
        </is>
      </c>
      <c r="BF2" t="inlineStr">
        <is>
          <t>South</t>
        </is>
      </c>
      <c r="BG2" t="inlineStr">
        <is>
          <t>West</t>
        </is>
      </c>
      <c r="BH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13</v>
      </c>
      <c r="D3">
        <f>24+1</f>
        <v/>
      </c>
      <c r="E3">
        <f>24+13</f>
        <v/>
      </c>
      <c r="G3" t="n">
        <v>2</v>
      </c>
      <c r="H3" t="n">
        <v>19</v>
      </c>
      <c r="I3">
        <f>24+4</f>
        <v/>
      </c>
      <c r="J3">
        <f>24+21</f>
        <v/>
      </c>
      <c r="L3" t="n">
        <v>3</v>
      </c>
      <c r="M3" t="n">
        <v>21</v>
      </c>
      <c r="N3">
        <f>24+7</f>
        <v/>
      </c>
      <c r="O3">
        <f>24+14</f>
        <v/>
      </c>
      <c r="Q3" t="n">
        <v>4</v>
      </c>
      <c r="R3" t="n">
        <v>15</v>
      </c>
      <c r="S3">
        <f>24+2</f>
        <v/>
      </c>
      <c r="T3">
        <f>24+24</f>
        <v/>
      </c>
      <c r="V3" t="n">
        <v>5</v>
      </c>
      <c r="W3" t="n">
        <v>20</v>
      </c>
      <c r="X3">
        <f>24+10</f>
        <v/>
      </c>
      <c r="Y3">
        <f>24+18</f>
        <v/>
      </c>
      <c r="AA3" t="n">
        <v>6</v>
      </c>
      <c r="AB3" t="n">
        <v>14</v>
      </c>
      <c r="AC3">
        <f>24+12</f>
        <v/>
      </c>
      <c r="AD3">
        <f>24+22</f>
        <v/>
      </c>
      <c r="AF3" t="n">
        <v>7</v>
      </c>
      <c r="AG3" t="n">
        <v>22</v>
      </c>
      <c r="AH3">
        <f>24+3</f>
        <v/>
      </c>
      <c r="AI3">
        <f>24+16</f>
        <v/>
      </c>
      <c r="AK3" t="n">
        <v>8</v>
      </c>
      <c r="AL3" t="n">
        <v>24</v>
      </c>
      <c r="AM3">
        <f>24+9</f>
        <v/>
      </c>
      <c r="AN3">
        <f>24+23</f>
        <v/>
      </c>
      <c r="AP3" t="n">
        <v>9</v>
      </c>
      <c r="AQ3" t="n">
        <v>17</v>
      </c>
      <c r="AR3">
        <f>24+6</f>
        <v/>
      </c>
      <c r="AS3">
        <f>24+15</f>
        <v/>
      </c>
      <c r="AU3" t="n">
        <v>10</v>
      </c>
      <c r="AV3" t="n">
        <v>23</v>
      </c>
      <c r="AW3">
        <f>24+5</f>
        <v/>
      </c>
      <c r="AX3">
        <f>24+20</f>
        <v/>
      </c>
      <c r="AZ3" t="n">
        <v>11</v>
      </c>
      <c r="BA3" t="n">
        <v>18</v>
      </c>
      <c r="BB3">
        <f>24+8</f>
        <v/>
      </c>
      <c r="BC3">
        <f>24+19</f>
        <v/>
      </c>
      <c r="BE3" t="n">
        <v>12</v>
      </c>
      <c r="BF3" t="n">
        <v>16</v>
      </c>
      <c r="BG3">
        <f>24+11</f>
        <v/>
      </c>
      <c r="BH3">
        <f>24+17</f>
        <v/>
      </c>
    </row>
    <row r="4">
      <c r="A4" t="inlineStr">
        <is>
          <t>R2</t>
        </is>
      </c>
      <c r="B4">
        <f>24+6</f>
        <v/>
      </c>
      <c r="C4">
        <f>24+18</f>
        <v/>
      </c>
      <c r="D4" t="n">
        <v>6</v>
      </c>
      <c r="E4" t="n">
        <v>18</v>
      </c>
      <c r="G4">
        <f>24+3</f>
        <v/>
      </c>
      <c r="H4">
        <f>24+20</f>
        <v/>
      </c>
      <c r="I4" t="n">
        <v>1</v>
      </c>
      <c r="J4" t="n">
        <v>24</v>
      </c>
      <c r="L4">
        <f>24+12</f>
        <v/>
      </c>
      <c r="M4">
        <f>24+13</f>
        <v/>
      </c>
      <c r="N4" t="n">
        <v>2</v>
      </c>
      <c r="O4" t="n">
        <v>20</v>
      </c>
      <c r="Q4">
        <f>24+1</f>
        <v/>
      </c>
      <c r="R4">
        <f>24+23</f>
        <v/>
      </c>
      <c r="S4" t="n">
        <v>3</v>
      </c>
      <c r="T4" t="n">
        <v>14</v>
      </c>
      <c r="V4">
        <f>24+9</f>
        <v/>
      </c>
      <c r="W4">
        <f>24+17</f>
        <v/>
      </c>
      <c r="X4" t="n">
        <v>4</v>
      </c>
      <c r="Y4" t="n">
        <v>19</v>
      </c>
      <c r="AA4">
        <f>24+11</f>
        <v/>
      </c>
      <c r="AB4">
        <f>24+21</f>
        <v/>
      </c>
      <c r="AC4" t="n">
        <v>5</v>
      </c>
      <c r="AD4" t="n">
        <v>13</v>
      </c>
      <c r="AF4">
        <f>24+2</f>
        <v/>
      </c>
      <c r="AG4">
        <f>24+15</f>
        <v/>
      </c>
      <c r="AH4" t="n">
        <v>12</v>
      </c>
      <c r="AI4" t="n">
        <v>21</v>
      </c>
      <c r="AK4">
        <f>24+8</f>
        <v/>
      </c>
      <c r="AL4">
        <f>24+22</f>
        <v/>
      </c>
      <c r="AM4" t="n">
        <v>7</v>
      </c>
      <c r="AN4" t="n">
        <v>23</v>
      </c>
      <c r="AP4">
        <f>24+5</f>
        <v/>
      </c>
      <c r="AQ4">
        <f>24+14</f>
        <v/>
      </c>
      <c r="AR4" t="n">
        <v>8</v>
      </c>
      <c r="AS4" t="n">
        <v>16</v>
      </c>
      <c r="AU4">
        <f>24+4</f>
        <v/>
      </c>
      <c r="AV4">
        <f>24+19</f>
        <v/>
      </c>
      <c r="AW4" t="n">
        <v>9</v>
      </c>
      <c r="AX4" t="n">
        <v>22</v>
      </c>
      <c r="AZ4">
        <f>24+7</f>
        <v/>
      </c>
      <c r="BA4">
        <f>24+24</f>
        <v/>
      </c>
      <c r="BB4" t="n">
        <v>10</v>
      </c>
      <c r="BC4" t="n">
        <v>17</v>
      </c>
      <c r="BE4">
        <f>24+10</f>
        <v/>
      </c>
      <c r="BF4">
        <f>24+16</f>
        <v/>
      </c>
      <c r="BG4" t="n">
        <v>11</v>
      </c>
      <c r="BH4" t="n">
        <v>15</v>
      </c>
    </row>
    <row r="5">
      <c r="A5" t="inlineStr">
        <is>
          <t>R3</t>
        </is>
      </c>
      <c r="B5" t="n">
        <v>17</v>
      </c>
      <c r="C5">
        <f>24+5</f>
        <v/>
      </c>
      <c r="D5">
        <f>24+17</f>
        <v/>
      </c>
      <c r="E5" t="n">
        <v>5</v>
      </c>
      <c r="G5" t="n">
        <v>23</v>
      </c>
      <c r="H5">
        <f>24+2</f>
        <v/>
      </c>
      <c r="I5">
        <f>24+19</f>
        <v/>
      </c>
      <c r="J5" t="n">
        <v>6</v>
      </c>
      <c r="L5" t="n">
        <v>19</v>
      </c>
      <c r="M5">
        <f>24+11</f>
        <v/>
      </c>
      <c r="N5">
        <f>24+18</f>
        <v/>
      </c>
      <c r="O5" t="n">
        <v>1</v>
      </c>
      <c r="Q5" t="n">
        <v>13</v>
      </c>
      <c r="R5">
        <f>24+6</f>
        <v/>
      </c>
      <c r="S5">
        <f>24+22</f>
        <v/>
      </c>
      <c r="T5" t="n">
        <v>2</v>
      </c>
      <c r="V5" t="n">
        <v>24</v>
      </c>
      <c r="W5">
        <f>24+8</f>
        <v/>
      </c>
      <c r="X5">
        <f>24+16</f>
        <v/>
      </c>
      <c r="Y5" t="n">
        <v>3</v>
      </c>
      <c r="AA5" t="n">
        <v>18</v>
      </c>
      <c r="AB5">
        <f>24+10</f>
        <v/>
      </c>
      <c r="AC5">
        <f>24+20</f>
        <v/>
      </c>
      <c r="AD5" t="n">
        <v>4</v>
      </c>
      <c r="AF5" t="n">
        <v>20</v>
      </c>
      <c r="AG5">
        <f>24+1</f>
        <v/>
      </c>
      <c r="AH5">
        <f>24+14</f>
        <v/>
      </c>
      <c r="AI5" t="n">
        <v>11</v>
      </c>
      <c r="AK5" t="n">
        <v>22</v>
      </c>
      <c r="AL5">
        <f>24+7</f>
        <v/>
      </c>
      <c r="AM5">
        <f>24+21</f>
        <v/>
      </c>
      <c r="AN5" t="n">
        <v>12</v>
      </c>
      <c r="AP5" t="n">
        <v>15</v>
      </c>
      <c r="AQ5">
        <f>24+4</f>
        <v/>
      </c>
      <c r="AR5">
        <f>24+13</f>
        <v/>
      </c>
      <c r="AS5" t="n">
        <v>7</v>
      </c>
      <c r="AU5" t="n">
        <v>21</v>
      </c>
      <c r="AV5">
        <f>24+3</f>
        <v/>
      </c>
      <c r="AW5">
        <f>24+24</f>
        <v/>
      </c>
      <c r="AX5" t="n">
        <v>8</v>
      </c>
      <c r="AZ5" t="n">
        <v>16</v>
      </c>
      <c r="BA5">
        <f>24+12</f>
        <v/>
      </c>
      <c r="BB5">
        <f>24+23</f>
        <v/>
      </c>
      <c r="BC5" t="n">
        <v>9</v>
      </c>
      <c r="BE5" t="n">
        <v>14</v>
      </c>
      <c r="BF5">
        <f>24+9</f>
        <v/>
      </c>
      <c r="BG5">
        <f>24+15</f>
        <v/>
      </c>
      <c r="BH5" t="n">
        <v>10</v>
      </c>
    </row>
    <row r="6">
      <c r="A6" t="inlineStr">
        <is>
          <t>R4</t>
        </is>
      </c>
      <c r="B6">
        <f>24+16</f>
        <v/>
      </c>
      <c r="C6" t="n">
        <v>4</v>
      </c>
      <c r="D6" t="n">
        <v>16</v>
      </c>
      <c r="E6">
        <f>24+4</f>
        <v/>
      </c>
      <c r="G6">
        <f>24+24</f>
        <v/>
      </c>
      <c r="H6" t="n">
        <v>5</v>
      </c>
      <c r="I6" t="n">
        <v>22</v>
      </c>
      <c r="J6">
        <f>24+1</f>
        <v/>
      </c>
      <c r="L6">
        <f>24+17</f>
        <v/>
      </c>
      <c r="M6" t="n">
        <v>6</v>
      </c>
      <c r="N6" t="n">
        <v>24</v>
      </c>
      <c r="O6">
        <f>24+10</f>
        <v/>
      </c>
      <c r="Q6">
        <f>24+21</f>
        <v/>
      </c>
      <c r="R6" t="n">
        <v>1</v>
      </c>
      <c r="S6" t="n">
        <v>18</v>
      </c>
      <c r="T6">
        <f>24+5</f>
        <v/>
      </c>
      <c r="V6">
        <f>24+15</f>
        <v/>
      </c>
      <c r="W6" t="n">
        <v>2</v>
      </c>
      <c r="X6" t="n">
        <v>23</v>
      </c>
      <c r="Y6">
        <f>24+7</f>
        <v/>
      </c>
      <c r="AA6">
        <f>24+19</f>
        <v/>
      </c>
      <c r="AB6" t="n">
        <v>3</v>
      </c>
      <c r="AC6" t="n">
        <v>17</v>
      </c>
      <c r="AD6">
        <f>24+9</f>
        <v/>
      </c>
      <c r="AF6">
        <f>24+13</f>
        <v/>
      </c>
      <c r="AG6" t="n">
        <v>10</v>
      </c>
      <c r="AH6" t="n">
        <v>19</v>
      </c>
      <c r="AI6">
        <f>24+6</f>
        <v/>
      </c>
      <c r="AK6">
        <f>24+20</f>
        <v/>
      </c>
      <c r="AL6" t="n">
        <v>11</v>
      </c>
      <c r="AM6" t="n">
        <v>21</v>
      </c>
      <c r="AN6">
        <f>24+12</f>
        <v/>
      </c>
      <c r="AP6">
        <f>24+18</f>
        <v/>
      </c>
      <c r="AQ6" t="n">
        <v>12</v>
      </c>
      <c r="AR6" t="n">
        <v>14</v>
      </c>
      <c r="AS6">
        <f>24+3</f>
        <v/>
      </c>
      <c r="AU6">
        <f>24+23</f>
        <v/>
      </c>
      <c r="AV6" t="n">
        <v>7</v>
      </c>
      <c r="AW6" t="n">
        <v>20</v>
      </c>
      <c r="AX6">
        <f>24+2</f>
        <v/>
      </c>
      <c r="AZ6">
        <f>24+22</f>
        <v/>
      </c>
      <c r="BA6" t="n">
        <v>8</v>
      </c>
      <c r="BB6" t="n">
        <v>15</v>
      </c>
      <c r="BC6">
        <f>24+11</f>
        <v/>
      </c>
      <c r="BE6">
        <f>24+14</f>
        <v/>
      </c>
      <c r="BF6" t="n">
        <v>9</v>
      </c>
      <c r="BG6" t="n">
        <v>13</v>
      </c>
      <c r="BH6">
        <f>24+8</f>
        <v/>
      </c>
    </row>
    <row r="7">
      <c r="A7" t="inlineStr">
        <is>
          <t>R5</t>
        </is>
      </c>
      <c r="B7" t="n">
        <v>3</v>
      </c>
      <c r="C7" t="n">
        <v>15</v>
      </c>
      <c r="D7">
        <f>24+3</f>
        <v/>
      </c>
      <c r="E7">
        <f>24+15</f>
        <v/>
      </c>
      <c r="G7" t="n">
        <v>4</v>
      </c>
      <c r="H7" t="n">
        <v>21</v>
      </c>
      <c r="I7">
        <f>24+6</f>
        <v/>
      </c>
      <c r="J7">
        <f>24+23</f>
        <v/>
      </c>
      <c r="L7" t="n">
        <v>5</v>
      </c>
      <c r="M7" t="n">
        <v>23</v>
      </c>
      <c r="N7">
        <f>24+9</f>
        <v/>
      </c>
      <c r="O7">
        <f>24+16</f>
        <v/>
      </c>
      <c r="Q7" t="n">
        <v>6</v>
      </c>
      <c r="R7" t="n">
        <v>17</v>
      </c>
      <c r="S7">
        <f>24+4</f>
        <v/>
      </c>
      <c r="T7">
        <f>24+20</f>
        <v/>
      </c>
      <c r="V7" t="n">
        <v>1</v>
      </c>
      <c r="W7" t="n">
        <v>22</v>
      </c>
      <c r="X7">
        <f>24+12</f>
        <v/>
      </c>
      <c r="Y7">
        <f>24+14</f>
        <v/>
      </c>
      <c r="AA7" t="n">
        <v>2</v>
      </c>
      <c r="AB7" t="n">
        <v>16</v>
      </c>
      <c r="AC7">
        <f>24+8</f>
        <v/>
      </c>
      <c r="AD7">
        <f>24+24</f>
        <v/>
      </c>
      <c r="AF7" t="n">
        <v>9</v>
      </c>
      <c r="AG7" t="n">
        <v>24</v>
      </c>
      <c r="AH7">
        <f>24+5</f>
        <v/>
      </c>
      <c r="AI7">
        <f>24+18</f>
        <v/>
      </c>
      <c r="AK7" t="n">
        <v>10</v>
      </c>
      <c r="AL7" t="n">
        <v>20</v>
      </c>
      <c r="AM7">
        <f>24+11</f>
        <v/>
      </c>
      <c r="AN7">
        <f>24+19</f>
        <v/>
      </c>
      <c r="AP7" t="n">
        <v>11</v>
      </c>
      <c r="AQ7" t="n">
        <v>13</v>
      </c>
      <c r="AR7">
        <f>24+2</f>
        <v/>
      </c>
      <c r="AS7">
        <f>24+17</f>
        <v/>
      </c>
      <c r="AU7" t="n">
        <v>12</v>
      </c>
      <c r="AV7" t="n">
        <v>19</v>
      </c>
      <c r="AW7">
        <f>24+1</f>
        <v/>
      </c>
      <c r="AX7">
        <f>24+22</f>
        <v/>
      </c>
      <c r="AZ7" t="n">
        <v>7</v>
      </c>
      <c r="BA7" t="n">
        <v>14</v>
      </c>
      <c r="BB7">
        <f>24+10</f>
        <v/>
      </c>
      <c r="BC7">
        <f>24+21</f>
        <v/>
      </c>
      <c r="BE7" t="n">
        <v>8</v>
      </c>
      <c r="BF7" t="n">
        <v>18</v>
      </c>
      <c r="BG7">
        <f>24+7</f>
        <v/>
      </c>
      <c r="BH7">
        <f>24+13</f>
        <v/>
      </c>
    </row>
    <row r="8">
      <c r="A8" t="inlineStr">
        <is>
          <t>R6</t>
        </is>
      </c>
      <c r="B8">
        <f>24+2</f>
        <v/>
      </c>
      <c r="C8">
        <f>24+14</f>
        <v/>
      </c>
      <c r="D8" t="n">
        <v>2</v>
      </c>
      <c r="E8" t="n">
        <v>14</v>
      </c>
      <c r="G8">
        <f>24+5</f>
        <v/>
      </c>
      <c r="H8">
        <f>24+22</f>
        <v/>
      </c>
      <c r="I8" t="n">
        <v>3</v>
      </c>
      <c r="J8" t="n">
        <v>20</v>
      </c>
      <c r="L8">
        <f>24+8</f>
        <v/>
      </c>
      <c r="M8">
        <f>24+15</f>
        <v/>
      </c>
      <c r="N8" t="n">
        <v>4</v>
      </c>
      <c r="O8" t="n">
        <v>22</v>
      </c>
      <c r="Q8">
        <f>24+3</f>
        <v/>
      </c>
      <c r="R8">
        <f>24+19</f>
        <v/>
      </c>
      <c r="S8" t="n">
        <v>5</v>
      </c>
      <c r="T8" t="n">
        <v>16</v>
      </c>
      <c r="V8">
        <f>24+11</f>
        <v/>
      </c>
      <c r="W8">
        <f>24+13</f>
        <v/>
      </c>
      <c r="X8" t="n">
        <v>6</v>
      </c>
      <c r="Y8" t="n">
        <v>21</v>
      </c>
      <c r="AA8">
        <f>24+7</f>
        <v/>
      </c>
      <c r="AB8">
        <f>24+23</f>
        <v/>
      </c>
      <c r="AC8" t="n">
        <v>1</v>
      </c>
      <c r="AD8" t="n">
        <v>15</v>
      </c>
      <c r="AF8">
        <f>24+4</f>
        <v/>
      </c>
      <c r="AG8">
        <f>24+17</f>
        <v/>
      </c>
      <c r="AH8" t="n">
        <v>8</v>
      </c>
      <c r="AI8" t="n">
        <v>23</v>
      </c>
      <c r="AK8">
        <f>24+10</f>
        <v/>
      </c>
      <c r="AL8">
        <f>24+24</f>
        <v/>
      </c>
      <c r="AM8" t="n">
        <v>9</v>
      </c>
      <c r="AN8" t="n">
        <v>19</v>
      </c>
      <c r="AP8">
        <f>24+1</f>
        <v/>
      </c>
      <c r="AQ8">
        <f>24+16</f>
        <v/>
      </c>
      <c r="AR8" t="n">
        <v>10</v>
      </c>
      <c r="AS8" t="n">
        <v>18</v>
      </c>
      <c r="AU8">
        <f>24+6</f>
        <v/>
      </c>
      <c r="AV8">
        <f>24+21</f>
        <v/>
      </c>
      <c r="AW8" t="n">
        <v>11</v>
      </c>
      <c r="AX8" t="n">
        <v>24</v>
      </c>
      <c r="AZ8">
        <f>24+9</f>
        <v/>
      </c>
      <c r="BA8">
        <f>24+20</f>
        <v/>
      </c>
      <c r="BB8" t="n">
        <v>12</v>
      </c>
      <c r="BC8" t="n">
        <v>13</v>
      </c>
      <c r="BE8">
        <f>24+12</f>
        <v/>
      </c>
      <c r="BF8">
        <f>24+18</f>
        <v/>
      </c>
      <c r="BG8" t="n">
        <v>7</v>
      </c>
      <c r="BH8" t="n">
        <v>17</v>
      </c>
    </row>
    <row r="9">
      <c r="A9" t="inlineStr">
        <is>
          <t>R7</t>
        </is>
      </c>
      <c r="B9" t="n">
        <v>19</v>
      </c>
      <c r="C9">
        <f>24+7</f>
        <v/>
      </c>
      <c r="D9">
        <f>24+19</f>
        <v/>
      </c>
      <c r="E9" t="n">
        <v>7</v>
      </c>
      <c r="G9" t="n">
        <v>13</v>
      </c>
      <c r="H9">
        <f>24+10</f>
        <v/>
      </c>
      <c r="I9">
        <f>24+15</f>
        <v/>
      </c>
      <c r="J9" t="n">
        <v>8</v>
      </c>
      <c r="L9" t="n">
        <v>15</v>
      </c>
      <c r="M9">
        <f>24+1</f>
        <v/>
      </c>
      <c r="N9">
        <f>24+20</f>
        <v/>
      </c>
      <c r="O9" t="n">
        <v>9</v>
      </c>
      <c r="Q9" t="n">
        <v>21</v>
      </c>
      <c r="R9">
        <f>24+8</f>
        <v/>
      </c>
      <c r="S9">
        <f>24+18</f>
        <v/>
      </c>
      <c r="T9" t="n">
        <v>10</v>
      </c>
      <c r="V9" t="n">
        <v>14</v>
      </c>
      <c r="W9">
        <f>24+4</f>
        <v/>
      </c>
      <c r="X9">
        <f>24+24</f>
        <v/>
      </c>
      <c r="Y9" t="n">
        <v>11</v>
      </c>
      <c r="AA9" t="n">
        <v>20</v>
      </c>
      <c r="AB9">
        <f>24+6</f>
        <v/>
      </c>
      <c r="AC9">
        <f>24+16</f>
        <v/>
      </c>
      <c r="AD9" t="n">
        <v>12</v>
      </c>
      <c r="AF9" t="n">
        <v>16</v>
      </c>
      <c r="AG9">
        <f>24+9</f>
        <v/>
      </c>
      <c r="AH9">
        <f>24+22</f>
        <v/>
      </c>
      <c r="AI9" t="n">
        <v>1</v>
      </c>
      <c r="AK9" t="n">
        <v>18</v>
      </c>
      <c r="AL9">
        <f>24+3</f>
        <v/>
      </c>
      <c r="AM9">
        <f>24+17</f>
        <v/>
      </c>
      <c r="AN9" t="n">
        <v>2</v>
      </c>
      <c r="AP9" t="n">
        <v>23</v>
      </c>
      <c r="AQ9">
        <f>24+12</f>
        <v/>
      </c>
      <c r="AR9">
        <f>24+21</f>
        <v/>
      </c>
      <c r="AS9" t="n">
        <v>3</v>
      </c>
      <c r="AU9" t="n">
        <v>17</v>
      </c>
      <c r="AV9">
        <f>24+11</f>
        <v/>
      </c>
      <c r="AW9">
        <f>24+14</f>
        <v/>
      </c>
      <c r="AX9" t="n">
        <v>4</v>
      </c>
      <c r="AZ9" t="n">
        <v>24</v>
      </c>
      <c r="BA9">
        <f>24+2</f>
        <v/>
      </c>
      <c r="BB9">
        <f>24+13</f>
        <v/>
      </c>
      <c r="BC9" t="n">
        <v>5</v>
      </c>
      <c r="BE9" t="n">
        <v>22</v>
      </c>
      <c r="BF9">
        <f>24+5</f>
        <v/>
      </c>
      <c r="BG9">
        <f>24+23</f>
        <v/>
      </c>
      <c r="BH9" t="n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9"/>
  <sheetViews>
    <sheetView zoomScaleNormal="100" workbookViewId="0">
      <selection activeCell="A1" sqref="A1"/>
    </sheetView>
  </sheetViews>
  <sheetFormatPr baseColWidth="8" defaultColWidth="4.8554687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4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4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4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4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4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4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4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4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4" customWidth="1" min="46" max="46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  <col width="4" customWidth="1" min="51" max="51"/>
    <col width="8.28515625" bestFit="1" customWidth="1" min="52" max="52"/>
    <col width="6.140625" bestFit="1" customWidth="1" min="53" max="53"/>
    <col width="5.5703125" bestFit="1" customWidth="1" min="54" max="54"/>
    <col width="6.140625" bestFit="1" customWidth="1" min="55" max="55"/>
    <col width="4" customWidth="1" min="56" max="56"/>
    <col width="8.28515625" bestFit="1" customWidth="1" min="57" max="57"/>
    <col width="6.140625" bestFit="1" customWidth="1" min="58" max="58"/>
    <col width="5.5703125" bestFit="1" customWidth="1" min="59" max="59"/>
    <col width="6.140625" bestFit="1" customWidth="1" min="60" max="60"/>
    <col width="4" customWidth="1" min="61" max="61"/>
    <col width="8.28515625" bestFit="1" customWidth="1" min="62" max="62"/>
    <col width="6.140625" bestFit="1" customWidth="1" min="63" max="63"/>
    <col width="5.5703125" bestFit="1" customWidth="1" min="64" max="64"/>
    <col width="6.140625" bestFit="1" customWidth="1" min="65" max="65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  <c r="AZ1" t="inlineStr">
        <is>
          <t>Table 11</t>
        </is>
      </c>
      <c r="BE1" t="inlineStr">
        <is>
          <t>Table 12</t>
        </is>
      </c>
      <c r="BJ1" t="inlineStr">
        <is>
          <t>Table 13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  <c r="AZ2" t="inlineStr">
        <is>
          <t>East</t>
        </is>
      </c>
      <c r="BA2" t="inlineStr">
        <is>
          <t>South</t>
        </is>
      </c>
      <c r="BB2" t="inlineStr">
        <is>
          <t>West</t>
        </is>
      </c>
      <c r="BC2" t="inlineStr">
        <is>
          <t>North</t>
        </is>
      </c>
      <c r="BE2" t="inlineStr">
        <is>
          <t>East</t>
        </is>
      </c>
      <c r="BF2" t="inlineStr">
        <is>
          <t>South</t>
        </is>
      </c>
      <c r="BG2" t="inlineStr">
        <is>
          <t>West</t>
        </is>
      </c>
      <c r="BH2" t="inlineStr">
        <is>
          <t>North</t>
        </is>
      </c>
      <c r="BJ2" t="inlineStr">
        <is>
          <t>East</t>
        </is>
      </c>
      <c r="BK2" t="inlineStr">
        <is>
          <t>South</t>
        </is>
      </c>
      <c r="BL2" t="inlineStr">
        <is>
          <t>West</t>
        </is>
      </c>
      <c r="BM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14</v>
      </c>
      <c r="D3">
        <f>26+1</f>
        <v/>
      </c>
      <c r="E3">
        <f>26+14</f>
        <v/>
      </c>
      <c r="G3" t="n">
        <v>13</v>
      </c>
      <c r="H3" t="n">
        <v>26</v>
      </c>
      <c r="I3">
        <f>26+13</f>
        <v/>
      </c>
      <c r="J3">
        <f>26+26</f>
        <v/>
      </c>
      <c r="L3" t="n">
        <v>12</v>
      </c>
      <c r="M3" t="n">
        <v>25</v>
      </c>
      <c r="N3">
        <f>26+12</f>
        <v/>
      </c>
      <c r="O3">
        <f>26+25</f>
        <v/>
      </c>
      <c r="Q3" t="n">
        <v>11</v>
      </c>
      <c r="R3" t="n">
        <v>24</v>
      </c>
      <c r="S3">
        <f>26+11</f>
        <v/>
      </c>
      <c r="T3">
        <f>26+24</f>
        <v/>
      </c>
      <c r="V3" t="n">
        <v>10</v>
      </c>
      <c r="W3" t="n">
        <v>23</v>
      </c>
      <c r="X3">
        <f>26+10</f>
        <v/>
      </c>
      <c r="Y3">
        <f>26+23</f>
        <v/>
      </c>
      <c r="AA3" t="n">
        <v>9</v>
      </c>
      <c r="AB3" t="n">
        <v>22</v>
      </c>
      <c r="AC3">
        <f>26+9</f>
        <v/>
      </c>
      <c r="AD3">
        <f>26+22</f>
        <v/>
      </c>
      <c r="AF3" t="n">
        <v>8</v>
      </c>
      <c r="AG3" t="n">
        <v>21</v>
      </c>
      <c r="AH3">
        <f>26+8</f>
        <v/>
      </c>
      <c r="AI3">
        <f>26+21</f>
        <v/>
      </c>
      <c r="AK3" t="n">
        <v>7</v>
      </c>
      <c r="AL3" t="n">
        <v>20</v>
      </c>
      <c r="AM3">
        <f>26+7</f>
        <v/>
      </c>
      <c r="AN3">
        <f>26+20</f>
        <v/>
      </c>
      <c r="AP3" t="n">
        <v>6</v>
      </c>
      <c r="AQ3" t="n">
        <v>19</v>
      </c>
      <c r="AR3">
        <f>26+6</f>
        <v/>
      </c>
      <c r="AS3">
        <f>26+19</f>
        <v/>
      </c>
      <c r="AU3" t="n">
        <v>5</v>
      </c>
      <c r="AV3" t="n">
        <v>18</v>
      </c>
      <c r="AW3">
        <f>26+5</f>
        <v/>
      </c>
      <c r="AX3">
        <f>26+18</f>
        <v/>
      </c>
      <c r="AZ3" t="n">
        <v>4</v>
      </c>
      <c r="BA3" t="n">
        <v>17</v>
      </c>
      <c r="BB3">
        <f>26+4</f>
        <v/>
      </c>
      <c r="BC3">
        <f>26+17</f>
        <v/>
      </c>
      <c r="BE3" t="n">
        <v>3</v>
      </c>
      <c r="BF3" t="n">
        <v>16</v>
      </c>
      <c r="BG3">
        <f>26+3</f>
        <v/>
      </c>
      <c r="BH3">
        <f>26+16</f>
        <v/>
      </c>
      <c r="BJ3" t="n">
        <v>2</v>
      </c>
      <c r="BK3" t="n">
        <v>15</v>
      </c>
      <c r="BL3">
        <f>26+2</f>
        <v/>
      </c>
      <c r="BM3">
        <f>26+15</f>
        <v/>
      </c>
    </row>
    <row r="4">
      <c r="A4" t="inlineStr">
        <is>
          <t>R2</t>
        </is>
      </c>
      <c r="B4">
        <f>26+11</f>
        <v/>
      </c>
      <c r="C4">
        <f>26+23</f>
        <v/>
      </c>
      <c r="D4" t="n">
        <v>13</v>
      </c>
      <c r="E4" t="n">
        <v>25</v>
      </c>
      <c r="G4">
        <f>26+10</f>
        <v/>
      </c>
      <c r="H4">
        <f>26+22</f>
        <v/>
      </c>
      <c r="I4" t="n">
        <v>12</v>
      </c>
      <c r="J4" t="n">
        <v>24</v>
      </c>
      <c r="L4">
        <f>26+9</f>
        <v/>
      </c>
      <c r="M4">
        <f>26+21</f>
        <v/>
      </c>
      <c r="N4" t="n">
        <v>11</v>
      </c>
      <c r="O4" t="n">
        <v>23</v>
      </c>
      <c r="Q4">
        <f>26+8</f>
        <v/>
      </c>
      <c r="R4">
        <f>26+20</f>
        <v/>
      </c>
      <c r="S4" t="n">
        <v>10</v>
      </c>
      <c r="T4" t="n">
        <v>22</v>
      </c>
      <c r="V4">
        <f>26+7</f>
        <v/>
      </c>
      <c r="W4">
        <f>26+19</f>
        <v/>
      </c>
      <c r="X4" t="n">
        <v>9</v>
      </c>
      <c r="Y4" t="n">
        <v>21</v>
      </c>
      <c r="AA4">
        <f>26+6</f>
        <v/>
      </c>
      <c r="AB4">
        <f>26+18</f>
        <v/>
      </c>
      <c r="AC4" t="n">
        <v>8</v>
      </c>
      <c r="AD4" t="n">
        <v>20</v>
      </c>
      <c r="AF4">
        <f>26+5</f>
        <v/>
      </c>
      <c r="AG4">
        <f>26+17</f>
        <v/>
      </c>
      <c r="AH4" t="n">
        <v>7</v>
      </c>
      <c r="AI4" t="n">
        <v>19</v>
      </c>
      <c r="AK4">
        <f>26+4</f>
        <v/>
      </c>
      <c r="AL4">
        <f>26+16</f>
        <v/>
      </c>
      <c r="AM4" t="n">
        <v>6</v>
      </c>
      <c r="AN4" t="n">
        <v>18</v>
      </c>
      <c r="AP4">
        <f>26+3</f>
        <v/>
      </c>
      <c r="AQ4">
        <f>26+15</f>
        <v/>
      </c>
      <c r="AR4" t="n">
        <v>5</v>
      </c>
      <c r="AS4" t="n">
        <v>17</v>
      </c>
      <c r="AU4">
        <f>26+2</f>
        <v/>
      </c>
      <c r="AV4">
        <f>26+14</f>
        <v/>
      </c>
      <c r="AW4" t="n">
        <v>4</v>
      </c>
      <c r="AX4" t="n">
        <v>16</v>
      </c>
      <c r="AZ4">
        <f>26+1</f>
        <v/>
      </c>
      <c r="BA4">
        <f>26+26</f>
        <v/>
      </c>
      <c r="BB4" t="n">
        <v>3</v>
      </c>
      <c r="BC4" t="n">
        <v>15</v>
      </c>
      <c r="BE4">
        <f>26+13</f>
        <v/>
      </c>
      <c r="BF4">
        <f>26+25</f>
        <v/>
      </c>
      <c r="BG4" t="n">
        <v>2</v>
      </c>
      <c r="BH4" t="n">
        <v>14</v>
      </c>
      <c r="BJ4">
        <f>26+12</f>
        <v/>
      </c>
      <c r="BK4">
        <f>26+24</f>
        <v/>
      </c>
      <c r="BL4" t="n">
        <v>1</v>
      </c>
      <c r="BM4" t="n">
        <v>26</v>
      </c>
    </row>
    <row r="5">
      <c r="A5" t="inlineStr">
        <is>
          <t>R3</t>
        </is>
      </c>
      <c r="B5" t="n">
        <v>23</v>
      </c>
      <c r="C5">
        <f>26+8</f>
        <v/>
      </c>
      <c r="D5">
        <f>26+19</f>
        <v/>
      </c>
      <c r="E5" t="n">
        <v>12</v>
      </c>
      <c r="G5" t="n">
        <v>22</v>
      </c>
      <c r="H5">
        <f>26+7</f>
        <v/>
      </c>
      <c r="I5">
        <f>26+18</f>
        <v/>
      </c>
      <c r="J5" t="n">
        <v>11</v>
      </c>
      <c r="L5" t="n">
        <v>21</v>
      </c>
      <c r="M5">
        <f>26+6</f>
        <v/>
      </c>
      <c r="N5">
        <f>26+17</f>
        <v/>
      </c>
      <c r="O5" t="n">
        <v>10</v>
      </c>
      <c r="Q5" t="n">
        <v>20</v>
      </c>
      <c r="R5">
        <f>26+5</f>
        <v/>
      </c>
      <c r="S5">
        <f>26+16</f>
        <v/>
      </c>
      <c r="T5" t="n">
        <v>9</v>
      </c>
      <c r="V5" t="n">
        <v>19</v>
      </c>
      <c r="W5">
        <f>26+4</f>
        <v/>
      </c>
      <c r="X5">
        <f>26+15</f>
        <v/>
      </c>
      <c r="Y5" t="n">
        <v>8</v>
      </c>
      <c r="AA5" t="n">
        <v>18</v>
      </c>
      <c r="AB5">
        <f>26+3</f>
        <v/>
      </c>
      <c r="AC5">
        <f>26+14</f>
        <v/>
      </c>
      <c r="AD5" t="n">
        <v>7</v>
      </c>
      <c r="AF5" t="n">
        <v>17</v>
      </c>
      <c r="AG5">
        <f>26+2</f>
        <v/>
      </c>
      <c r="AH5">
        <f>26+26</f>
        <v/>
      </c>
      <c r="AI5" t="n">
        <v>6</v>
      </c>
      <c r="AK5" t="n">
        <v>16</v>
      </c>
      <c r="AL5">
        <f>26+1</f>
        <v/>
      </c>
      <c r="AM5">
        <f>26+25</f>
        <v/>
      </c>
      <c r="AN5" t="n">
        <v>5</v>
      </c>
      <c r="AP5" t="n">
        <v>15</v>
      </c>
      <c r="AQ5">
        <f>26+13</f>
        <v/>
      </c>
      <c r="AR5">
        <f>26+24</f>
        <v/>
      </c>
      <c r="AS5" t="n">
        <v>4</v>
      </c>
      <c r="AU5" t="n">
        <v>14</v>
      </c>
      <c r="AV5">
        <f>26+12</f>
        <v/>
      </c>
      <c r="AW5">
        <f>26+23</f>
        <v/>
      </c>
      <c r="AX5" t="n">
        <v>3</v>
      </c>
      <c r="AZ5" t="n">
        <v>26</v>
      </c>
      <c r="BA5">
        <f>26+11</f>
        <v/>
      </c>
      <c r="BB5">
        <f>26+22</f>
        <v/>
      </c>
      <c r="BC5" t="n">
        <v>2</v>
      </c>
      <c r="BE5" t="n">
        <v>25</v>
      </c>
      <c r="BF5">
        <f>26+10</f>
        <v/>
      </c>
      <c r="BG5">
        <f>26+21</f>
        <v/>
      </c>
      <c r="BH5" t="n">
        <v>1</v>
      </c>
      <c r="BJ5" t="n">
        <v>24</v>
      </c>
      <c r="BK5">
        <f>26+9</f>
        <v/>
      </c>
      <c r="BL5">
        <f>26+20</f>
        <v/>
      </c>
      <c r="BM5" t="n">
        <v>13</v>
      </c>
    </row>
    <row r="6">
      <c r="A6" t="inlineStr">
        <is>
          <t>R4</t>
        </is>
      </c>
      <c r="B6">
        <f>26+15</f>
        <v/>
      </c>
      <c r="C6" t="n">
        <v>11</v>
      </c>
      <c r="D6" t="n">
        <v>21</v>
      </c>
      <c r="E6">
        <f>26+5</f>
        <v/>
      </c>
      <c r="G6">
        <f>26+14</f>
        <v/>
      </c>
      <c r="H6" t="n">
        <v>10</v>
      </c>
      <c r="I6" t="n">
        <v>20</v>
      </c>
      <c r="J6">
        <f>26+4</f>
        <v/>
      </c>
      <c r="L6">
        <f>26+26</f>
        <v/>
      </c>
      <c r="M6" t="n">
        <v>9</v>
      </c>
      <c r="N6" t="n">
        <v>19</v>
      </c>
      <c r="O6">
        <f>26+3</f>
        <v/>
      </c>
      <c r="Q6">
        <f>26+25</f>
        <v/>
      </c>
      <c r="R6" t="n">
        <v>8</v>
      </c>
      <c r="S6" t="n">
        <v>18</v>
      </c>
      <c r="T6">
        <f>26+2</f>
        <v/>
      </c>
      <c r="V6">
        <f>26+24</f>
        <v/>
      </c>
      <c r="W6" t="n">
        <v>7</v>
      </c>
      <c r="X6" t="n">
        <v>17</v>
      </c>
      <c r="Y6">
        <f>26+1</f>
        <v/>
      </c>
      <c r="AA6">
        <f>26+23</f>
        <v/>
      </c>
      <c r="AB6" t="n">
        <v>6</v>
      </c>
      <c r="AC6" t="n">
        <v>16</v>
      </c>
      <c r="AD6">
        <f>26+13</f>
        <v/>
      </c>
      <c r="AF6">
        <f>26+22</f>
        <v/>
      </c>
      <c r="AG6" t="n">
        <v>5</v>
      </c>
      <c r="AH6" t="n">
        <v>15</v>
      </c>
      <c r="AI6">
        <f>26+12</f>
        <v/>
      </c>
      <c r="AK6">
        <f>26+21</f>
        <v/>
      </c>
      <c r="AL6" t="n">
        <v>4</v>
      </c>
      <c r="AM6" t="n">
        <v>14</v>
      </c>
      <c r="AN6">
        <f>26+11</f>
        <v/>
      </c>
      <c r="AP6">
        <f>26+20</f>
        <v/>
      </c>
      <c r="AQ6" t="n">
        <v>3</v>
      </c>
      <c r="AR6" t="n">
        <v>26</v>
      </c>
      <c r="AS6">
        <f>26+10</f>
        <v/>
      </c>
      <c r="AU6">
        <f>26+19</f>
        <v/>
      </c>
      <c r="AV6" t="n">
        <v>2</v>
      </c>
      <c r="AW6" t="n">
        <v>25</v>
      </c>
      <c r="AX6">
        <f>26+9</f>
        <v/>
      </c>
      <c r="AZ6">
        <f>26+18</f>
        <v/>
      </c>
      <c r="BA6" t="n">
        <v>1</v>
      </c>
      <c r="BB6" t="n">
        <v>24</v>
      </c>
      <c r="BC6">
        <f>26+8</f>
        <v/>
      </c>
      <c r="BE6">
        <f>26+17</f>
        <v/>
      </c>
      <c r="BF6" t="n">
        <v>13</v>
      </c>
      <c r="BG6" t="n">
        <v>23</v>
      </c>
      <c r="BH6">
        <f>26+7</f>
        <v/>
      </c>
      <c r="BJ6">
        <f>26+16</f>
        <v/>
      </c>
      <c r="BK6" t="n">
        <v>12</v>
      </c>
      <c r="BL6" t="n">
        <v>22</v>
      </c>
      <c r="BM6">
        <f>26+6</f>
        <v/>
      </c>
    </row>
    <row r="7">
      <c r="A7" t="inlineStr">
        <is>
          <t>R5</t>
        </is>
      </c>
      <c r="B7" t="n">
        <v>10</v>
      </c>
      <c r="C7" t="n">
        <v>19</v>
      </c>
      <c r="D7">
        <f>26+2</f>
        <v/>
      </c>
      <c r="E7">
        <f>26+24</f>
        <v/>
      </c>
      <c r="G7" t="n">
        <v>9</v>
      </c>
      <c r="H7" t="n">
        <v>18</v>
      </c>
      <c r="I7">
        <f>26+1</f>
        <v/>
      </c>
      <c r="J7">
        <f>26+23</f>
        <v/>
      </c>
      <c r="L7" t="n">
        <v>8</v>
      </c>
      <c r="M7" t="n">
        <v>17</v>
      </c>
      <c r="N7">
        <f>26+13</f>
        <v/>
      </c>
      <c r="O7">
        <f>26+22</f>
        <v/>
      </c>
      <c r="Q7" t="n">
        <v>7</v>
      </c>
      <c r="R7" t="n">
        <v>16</v>
      </c>
      <c r="S7">
        <f>26+12</f>
        <v/>
      </c>
      <c r="T7">
        <f>26+21</f>
        <v/>
      </c>
      <c r="V7" t="n">
        <v>6</v>
      </c>
      <c r="W7" t="n">
        <v>15</v>
      </c>
      <c r="X7">
        <f>26+11</f>
        <v/>
      </c>
      <c r="Y7">
        <f>26+20</f>
        <v/>
      </c>
      <c r="AA7" t="n">
        <v>5</v>
      </c>
      <c r="AB7" t="n">
        <v>14</v>
      </c>
      <c r="AC7">
        <f>26+10</f>
        <v/>
      </c>
      <c r="AD7">
        <f>26+19</f>
        <v/>
      </c>
      <c r="AF7" t="n">
        <v>4</v>
      </c>
      <c r="AG7" t="n">
        <v>26</v>
      </c>
      <c r="AH7">
        <f>26+9</f>
        <v/>
      </c>
      <c r="AI7">
        <f>26+18</f>
        <v/>
      </c>
      <c r="AK7" t="n">
        <v>3</v>
      </c>
      <c r="AL7" t="n">
        <v>25</v>
      </c>
      <c r="AM7">
        <f>26+8</f>
        <v/>
      </c>
      <c r="AN7">
        <f>26+17</f>
        <v/>
      </c>
      <c r="AP7" t="n">
        <v>2</v>
      </c>
      <c r="AQ7" t="n">
        <v>24</v>
      </c>
      <c r="AR7">
        <f>26+7</f>
        <v/>
      </c>
      <c r="AS7">
        <f>26+16</f>
        <v/>
      </c>
      <c r="AU7" t="n">
        <v>1</v>
      </c>
      <c r="AV7" t="n">
        <v>23</v>
      </c>
      <c r="AW7">
        <f>26+6</f>
        <v/>
      </c>
      <c r="AX7">
        <f>26+15</f>
        <v/>
      </c>
      <c r="AZ7" t="n">
        <v>13</v>
      </c>
      <c r="BA7" t="n">
        <v>22</v>
      </c>
      <c r="BB7">
        <f>26+5</f>
        <v/>
      </c>
      <c r="BC7">
        <f>26+14</f>
        <v/>
      </c>
      <c r="BE7" t="n">
        <v>12</v>
      </c>
      <c r="BF7" t="n">
        <v>21</v>
      </c>
      <c r="BG7">
        <f>26+4</f>
        <v/>
      </c>
      <c r="BH7">
        <f>26+26</f>
        <v/>
      </c>
      <c r="BJ7" t="n">
        <v>11</v>
      </c>
      <c r="BK7" t="n">
        <v>20</v>
      </c>
      <c r="BL7">
        <f>26+3</f>
        <v/>
      </c>
      <c r="BM7">
        <f>26+25</f>
        <v/>
      </c>
    </row>
    <row r="8">
      <c r="A8" t="inlineStr">
        <is>
          <t>R6</t>
        </is>
      </c>
      <c r="B8">
        <f>26+12</f>
        <v/>
      </c>
      <c r="C8">
        <f>26+20</f>
        <v/>
      </c>
      <c r="D8" t="n">
        <v>9</v>
      </c>
      <c r="E8" t="n">
        <v>17</v>
      </c>
      <c r="G8">
        <f>26+11</f>
        <v/>
      </c>
      <c r="H8">
        <f>26+19</f>
        <v/>
      </c>
      <c r="I8" t="n">
        <v>8</v>
      </c>
      <c r="J8" t="n">
        <v>16</v>
      </c>
      <c r="L8">
        <f>26+10</f>
        <v/>
      </c>
      <c r="M8">
        <f>26+18</f>
        <v/>
      </c>
      <c r="N8" t="n">
        <v>7</v>
      </c>
      <c r="O8" t="n">
        <v>15</v>
      </c>
      <c r="Q8">
        <f>26+9</f>
        <v/>
      </c>
      <c r="R8">
        <f>26+17</f>
        <v/>
      </c>
      <c r="S8" t="n">
        <v>6</v>
      </c>
      <c r="T8" t="n">
        <v>14</v>
      </c>
      <c r="V8">
        <f>26+8</f>
        <v/>
      </c>
      <c r="W8">
        <f>26+16</f>
        <v/>
      </c>
      <c r="X8" t="n">
        <v>5</v>
      </c>
      <c r="Y8" t="n">
        <v>26</v>
      </c>
      <c r="AA8">
        <f>26+7</f>
        <v/>
      </c>
      <c r="AB8">
        <f>26+15</f>
        <v/>
      </c>
      <c r="AC8" t="n">
        <v>4</v>
      </c>
      <c r="AD8" t="n">
        <v>25</v>
      </c>
      <c r="AF8">
        <f>26+6</f>
        <v/>
      </c>
      <c r="AG8">
        <f>26+14</f>
        <v/>
      </c>
      <c r="AH8" t="n">
        <v>3</v>
      </c>
      <c r="AI8" t="n">
        <v>24</v>
      </c>
      <c r="AK8">
        <f>26+5</f>
        <v/>
      </c>
      <c r="AL8">
        <f>26+26</f>
        <v/>
      </c>
      <c r="AM8" t="n">
        <v>2</v>
      </c>
      <c r="AN8" t="n">
        <v>23</v>
      </c>
      <c r="AP8">
        <f>26+4</f>
        <v/>
      </c>
      <c r="AQ8">
        <f>26+25</f>
        <v/>
      </c>
      <c r="AR8" t="n">
        <v>1</v>
      </c>
      <c r="AS8" t="n">
        <v>22</v>
      </c>
      <c r="AU8">
        <f>26+3</f>
        <v/>
      </c>
      <c r="AV8">
        <f>26+24</f>
        <v/>
      </c>
      <c r="AW8" t="n">
        <v>13</v>
      </c>
      <c r="AX8" t="n">
        <v>21</v>
      </c>
      <c r="AZ8">
        <f>26+2</f>
        <v/>
      </c>
      <c r="BA8">
        <f>26+23</f>
        <v/>
      </c>
      <c r="BB8" t="n">
        <v>12</v>
      </c>
      <c r="BC8" t="n">
        <v>20</v>
      </c>
      <c r="BE8">
        <f>26+1</f>
        <v/>
      </c>
      <c r="BF8">
        <f>26+22</f>
        <v/>
      </c>
      <c r="BG8" t="n">
        <v>11</v>
      </c>
      <c r="BH8" t="n">
        <v>19</v>
      </c>
      <c r="BJ8">
        <f>26+13</f>
        <v/>
      </c>
      <c r="BK8">
        <f>26+21</f>
        <v/>
      </c>
      <c r="BL8" t="n">
        <v>10</v>
      </c>
      <c r="BM8" t="n">
        <v>18</v>
      </c>
    </row>
    <row r="9">
      <c r="A9" t="inlineStr">
        <is>
          <t>R7</t>
        </is>
      </c>
      <c r="B9" t="n">
        <v>15</v>
      </c>
      <c r="C9">
        <f>26+9</f>
        <v/>
      </c>
      <c r="D9">
        <f>26+16</f>
        <v/>
      </c>
      <c r="E9" t="n">
        <v>8</v>
      </c>
      <c r="G9" t="n">
        <v>14</v>
      </c>
      <c r="H9">
        <f>26+8</f>
        <v/>
      </c>
      <c r="I9">
        <f>26+15</f>
        <v/>
      </c>
      <c r="J9" t="n">
        <v>7</v>
      </c>
      <c r="L9" t="n">
        <v>26</v>
      </c>
      <c r="M9">
        <f>26+7</f>
        <v/>
      </c>
      <c r="N9">
        <f>26+14</f>
        <v/>
      </c>
      <c r="O9" t="n">
        <v>6</v>
      </c>
      <c r="Q9" t="n">
        <v>25</v>
      </c>
      <c r="R9">
        <f>26+6</f>
        <v/>
      </c>
      <c r="S9">
        <f>26+26</f>
        <v/>
      </c>
      <c r="T9" t="n">
        <v>5</v>
      </c>
      <c r="V9" t="n">
        <v>24</v>
      </c>
      <c r="W9">
        <f>26+5</f>
        <v/>
      </c>
      <c r="X9">
        <f>26+25</f>
        <v/>
      </c>
      <c r="Y9" t="n">
        <v>4</v>
      </c>
      <c r="AA9" t="n">
        <v>23</v>
      </c>
      <c r="AB9">
        <f>26+4</f>
        <v/>
      </c>
      <c r="AC9">
        <f>26+24</f>
        <v/>
      </c>
      <c r="AD9" t="n">
        <v>3</v>
      </c>
      <c r="AF9" t="n">
        <v>22</v>
      </c>
      <c r="AG9">
        <f>26+3</f>
        <v/>
      </c>
      <c r="AH9">
        <f>26+23</f>
        <v/>
      </c>
      <c r="AI9" t="n">
        <v>2</v>
      </c>
      <c r="AK9" t="n">
        <v>21</v>
      </c>
      <c r="AL9">
        <f>26+2</f>
        <v/>
      </c>
      <c r="AM9">
        <f>26+22</f>
        <v/>
      </c>
      <c r="AN9" t="n">
        <v>1</v>
      </c>
      <c r="AP9" t="n">
        <v>20</v>
      </c>
      <c r="AQ9">
        <f>26+1</f>
        <v/>
      </c>
      <c r="AR9">
        <f>26+21</f>
        <v/>
      </c>
      <c r="AS9" t="n">
        <v>13</v>
      </c>
      <c r="AU9" t="n">
        <v>19</v>
      </c>
      <c r="AV9">
        <f>26+13</f>
        <v/>
      </c>
      <c r="AW9">
        <f>26+20</f>
        <v/>
      </c>
      <c r="AX9" t="n">
        <v>12</v>
      </c>
      <c r="AZ9" t="n">
        <v>18</v>
      </c>
      <c r="BA9">
        <f>26+12</f>
        <v/>
      </c>
      <c r="BB9">
        <f>26+19</f>
        <v/>
      </c>
      <c r="BC9" t="n">
        <v>11</v>
      </c>
      <c r="BE9" t="n">
        <v>17</v>
      </c>
      <c r="BF9">
        <f>26+11</f>
        <v/>
      </c>
      <c r="BG9">
        <f>26+18</f>
        <v/>
      </c>
      <c r="BH9" t="n">
        <v>10</v>
      </c>
      <c r="BJ9" t="n">
        <v>16</v>
      </c>
      <c r="BK9">
        <f>26+10</f>
        <v/>
      </c>
      <c r="BL9">
        <f>26+17</f>
        <v/>
      </c>
      <c r="BM9" t="n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9"/>
  <sheetViews>
    <sheetView zoomScaleNormal="100" workbookViewId="0">
      <selection activeCell="A1" sqref="A1"/>
    </sheetView>
  </sheetViews>
  <sheetFormatPr baseColWidth="8" defaultColWidth="4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  <col width="8.28515625" bestFit="1" customWidth="1" min="52" max="52"/>
    <col width="6.140625" bestFit="1" customWidth="1" min="53" max="53"/>
    <col width="5.5703125" bestFit="1" customWidth="1" min="54" max="54"/>
    <col width="6.140625" bestFit="1" customWidth="1" min="55" max="55"/>
    <col width="8.28515625" bestFit="1" customWidth="1" min="57" max="57"/>
    <col width="6.140625" bestFit="1" customWidth="1" min="58" max="58"/>
    <col width="5.5703125" bestFit="1" customWidth="1" min="59" max="59"/>
    <col width="6.140625" bestFit="1" customWidth="1" min="60" max="60"/>
    <col width="8.28515625" bestFit="1" customWidth="1" min="62" max="62"/>
    <col width="6.140625" bestFit="1" customWidth="1" min="63" max="63"/>
    <col width="5.5703125" bestFit="1" customWidth="1" min="64" max="64"/>
    <col width="6.140625" bestFit="1" customWidth="1" min="65" max="65"/>
    <col width="8.28515625" bestFit="1" customWidth="1" min="67" max="67"/>
    <col width="6.140625" bestFit="1" customWidth="1" min="68" max="68"/>
    <col width="5.5703125" bestFit="1" customWidth="1" min="69" max="69"/>
    <col width="6.140625" bestFit="1" customWidth="1" min="70" max="70"/>
    <col width="5.7109375" bestFit="1" customWidth="1" min="72" max="73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  <c r="AZ1" t="inlineStr">
        <is>
          <t>Table 11</t>
        </is>
      </c>
      <c r="BE1" t="inlineStr">
        <is>
          <t>Table 12</t>
        </is>
      </c>
      <c r="BJ1" t="inlineStr">
        <is>
          <t>Table 13</t>
        </is>
      </c>
      <c r="BO1" t="inlineStr">
        <is>
          <t>Table 14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  <c r="AZ2" t="inlineStr">
        <is>
          <t>East</t>
        </is>
      </c>
      <c r="BA2" t="inlineStr">
        <is>
          <t>South</t>
        </is>
      </c>
      <c r="BB2" t="inlineStr">
        <is>
          <t>West</t>
        </is>
      </c>
      <c r="BC2" t="inlineStr">
        <is>
          <t>North</t>
        </is>
      </c>
      <c r="BE2" t="inlineStr">
        <is>
          <t>East</t>
        </is>
      </c>
      <c r="BF2" t="inlineStr">
        <is>
          <t>South</t>
        </is>
      </c>
      <c r="BG2" t="inlineStr">
        <is>
          <t>West</t>
        </is>
      </c>
      <c r="BH2" t="inlineStr">
        <is>
          <t>North</t>
        </is>
      </c>
      <c r="BJ2" t="inlineStr">
        <is>
          <t>East</t>
        </is>
      </c>
      <c r="BK2" t="inlineStr">
        <is>
          <t>South</t>
        </is>
      </c>
      <c r="BL2" t="inlineStr">
        <is>
          <t>West</t>
        </is>
      </c>
      <c r="BM2" t="inlineStr">
        <is>
          <t>North</t>
        </is>
      </c>
      <c r="BO2" t="inlineStr">
        <is>
          <t>East</t>
        </is>
      </c>
      <c r="BP2" t="inlineStr">
        <is>
          <t>South</t>
        </is>
      </c>
      <c r="BQ2" t="inlineStr">
        <is>
          <t>West</t>
        </is>
      </c>
      <c r="BR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15</v>
      </c>
      <c r="D3">
        <f>28+1</f>
        <v/>
      </c>
      <c r="E3">
        <f>28+15</f>
        <v/>
      </c>
      <c r="G3" t="n">
        <v>2</v>
      </c>
      <c r="H3" t="n">
        <v>16</v>
      </c>
      <c r="I3">
        <f>28+5</f>
        <v/>
      </c>
      <c r="J3">
        <f>28+25</f>
        <v/>
      </c>
      <c r="L3" t="n">
        <v>4</v>
      </c>
      <c r="M3" t="n">
        <v>21</v>
      </c>
      <c r="N3">
        <f>28+2</f>
        <v/>
      </c>
      <c r="O3">
        <f>28+23</f>
        <v/>
      </c>
      <c r="Q3" t="n">
        <v>3</v>
      </c>
      <c r="R3" t="n">
        <v>19</v>
      </c>
      <c r="S3">
        <f>28+6</f>
        <v/>
      </c>
      <c r="T3">
        <f>28+16</f>
        <v/>
      </c>
      <c r="V3" t="n">
        <v>8</v>
      </c>
      <c r="W3" t="n">
        <v>26</v>
      </c>
      <c r="X3">
        <f>28+14</f>
        <v/>
      </c>
      <c r="Y3">
        <f>28+28</f>
        <v/>
      </c>
      <c r="AA3" t="n">
        <v>11</v>
      </c>
      <c r="AB3" t="n">
        <v>17</v>
      </c>
      <c r="AC3">
        <f>28+10</f>
        <v/>
      </c>
      <c r="AD3">
        <f>28+27</f>
        <v/>
      </c>
      <c r="AF3" t="n">
        <v>12</v>
      </c>
      <c r="AG3" t="n">
        <v>23</v>
      </c>
      <c r="AH3">
        <f>28+8</f>
        <v/>
      </c>
      <c r="AI3">
        <f>28+24</f>
        <v/>
      </c>
      <c r="AK3" t="n">
        <v>5</v>
      </c>
      <c r="AL3" t="n">
        <v>27</v>
      </c>
      <c r="AM3">
        <f>28+3</f>
        <v/>
      </c>
      <c r="AN3">
        <f>28+26</f>
        <v/>
      </c>
      <c r="AP3" t="n">
        <v>13</v>
      </c>
      <c r="AQ3" t="n">
        <v>24</v>
      </c>
      <c r="AR3">
        <f>28+7</f>
        <v/>
      </c>
      <c r="AS3">
        <f>28+22</f>
        <v/>
      </c>
      <c r="AU3" t="n">
        <v>14</v>
      </c>
      <c r="AV3" t="n">
        <v>20</v>
      </c>
      <c r="AW3">
        <f>28+11</f>
        <v/>
      </c>
      <c r="AX3">
        <f>28+21</f>
        <v/>
      </c>
      <c r="AZ3" t="n">
        <v>9</v>
      </c>
      <c r="BA3" t="n">
        <v>22</v>
      </c>
      <c r="BB3">
        <f>28+4</f>
        <v/>
      </c>
      <c r="BC3">
        <f>28+19</f>
        <v/>
      </c>
      <c r="BE3" t="n">
        <v>7</v>
      </c>
      <c r="BF3" t="n">
        <v>28</v>
      </c>
      <c r="BG3">
        <f>28+12</f>
        <v/>
      </c>
      <c r="BH3">
        <f>28+18</f>
        <v/>
      </c>
      <c r="BJ3" t="n">
        <v>10</v>
      </c>
      <c r="BK3" t="n">
        <v>25</v>
      </c>
      <c r="BL3">
        <f>28+9</f>
        <v/>
      </c>
      <c r="BM3">
        <f>28+20</f>
        <v/>
      </c>
      <c r="BO3" t="n">
        <v>6</v>
      </c>
      <c r="BP3" t="n">
        <v>18</v>
      </c>
      <c r="BQ3">
        <f>28+13</f>
        <v/>
      </c>
      <c r="BR3">
        <f>28+17</f>
        <v/>
      </c>
    </row>
    <row r="4">
      <c r="A4" t="inlineStr">
        <is>
          <t>R2</t>
        </is>
      </c>
      <c r="B4">
        <f>28+7</f>
        <v/>
      </c>
      <c r="C4">
        <f>28+20</f>
        <v/>
      </c>
      <c r="D4" t="n">
        <v>3</v>
      </c>
      <c r="E4" t="n">
        <v>20</v>
      </c>
      <c r="G4">
        <f>28+14</f>
        <v/>
      </c>
      <c r="H4">
        <f>28+26</f>
        <v/>
      </c>
      <c r="I4" t="n">
        <v>10</v>
      </c>
      <c r="J4" t="n">
        <v>23</v>
      </c>
      <c r="L4">
        <f>28+5</f>
        <v/>
      </c>
      <c r="M4">
        <f>28+21</f>
        <v/>
      </c>
      <c r="N4" t="n">
        <v>9</v>
      </c>
      <c r="O4" t="n">
        <v>27</v>
      </c>
      <c r="Q4">
        <f>28+12</f>
        <v/>
      </c>
      <c r="R4">
        <f>28+17</f>
        <v/>
      </c>
      <c r="S4" t="n">
        <v>11</v>
      </c>
      <c r="T4" t="n">
        <v>26</v>
      </c>
      <c r="V4">
        <f>28+8</f>
        <v/>
      </c>
      <c r="W4">
        <f>28+16</f>
        <v/>
      </c>
      <c r="X4" t="n">
        <v>1</v>
      </c>
      <c r="Y4" t="n">
        <v>25</v>
      </c>
      <c r="AA4">
        <f>28+13</f>
        <v/>
      </c>
      <c r="AB4">
        <f>28+25</f>
        <v/>
      </c>
      <c r="AC4" t="n">
        <v>7</v>
      </c>
      <c r="AD4" t="n">
        <v>19</v>
      </c>
      <c r="AF4">
        <f>28+11</f>
        <v/>
      </c>
      <c r="AG4">
        <f>28+19</f>
        <v/>
      </c>
      <c r="AH4" t="n">
        <v>6</v>
      </c>
      <c r="AI4" t="n">
        <v>15</v>
      </c>
      <c r="AK4">
        <f>28+4</f>
        <v/>
      </c>
      <c r="AL4">
        <f>28+22</f>
        <v/>
      </c>
      <c r="AM4" t="n">
        <v>4</v>
      </c>
      <c r="AN4" t="n">
        <v>28</v>
      </c>
      <c r="AP4">
        <f>28+3</f>
        <v/>
      </c>
      <c r="AQ4">
        <f>28+24</f>
        <v/>
      </c>
      <c r="AR4" t="n">
        <v>2</v>
      </c>
      <c r="AS4" t="n">
        <v>18</v>
      </c>
      <c r="AU4">
        <f>28+1</f>
        <v/>
      </c>
      <c r="AV4">
        <f>28+18</f>
        <v/>
      </c>
      <c r="AW4" t="n">
        <v>13</v>
      </c>
      <c r="AX4" t="n">
        <v>22</v>
      </c>
      <c r="AZ4">
        <f>28+2</f>
        <v/>
      </c>
      <c r="BA4">
        <f>28+27</f>
        <v/>
      </c>
      <c r="BB4" t="n">
        <v>5</v>
      </c>
      <c r="BC4" t="n">
        <v>24</v>
      </c>
      <c r="BE4">
        <f>28+9</f>
        <v/>
      </c>
      <c r="BF4">
        <f>28+28</f>
        <v/>
      </c>
      <c r="BG4" t="n">
        <v>14</v>
      </c>
      <c r="BH4" t="n">
        <v>21</v>
      </c>
      <c r="BJ4">
        <f>28+10</f>
        <v/>
      </c>
      <c r="BK4">
        <f>28+23</f>
        <v/>
      </c>
      <c r="BL4" t="n">
        <v>8</v>
      </c>
      <c r="BM4" t="n">
        <v>16</v>
      </c>
      <c r="BO4">
        <f>28+6</f>
        <v/>
      </c>
      <c r="BP4">
        <f>28+15</f>
        <v/>
      </c>
      <c r="BQ4" t="n">
        <v>12</v>
      </c>
      <c r="BR4" t="n">
        <v>17</v>
      </c>
    </row>
    <row r="5">
      <c r="A5" t="inlineStr">
        <is>
          <t>R3</t>
        </is>
      </c>
      <c r="B5" t="n">
        <v>27</v>
      </c>
      <c r="C5">
        <f>28+11</f>
        <v/>
      </c>
      <c r="D5">
        <f>28+22</f>
        <v/>
      </c>
      <c r="E5" t="n">
        <v>12</v>
      </c>
      <c r="G5" t="n">
        <v>20</v>
      </c>
      <c r="H5">
        <f>28+1</f>
        <v/>
      </c>
      <c r="I5">
        <f>28+19</f>
        <v/>
      </c>
      <c r="J5" t="n">
        <v>8</v>
      </c>
      <c r="L5" t="n">
        <v>17</v>
      </c>
      <c r="M5">
        <f>28+3</f>
        <v/>
      </c>
      <c r="N5">
        <f>28+17</f>
        <v/>
      </c>
      <c r="O5" t="n">
        <v>3</v>
      </c>
      <c r="Q5" t="n">
        <v>18</v>
      </c>
      <c r="R5">
        <f>28+7</f>
        <v/>
      </c>
      <c r="S5">
        <f>28+27</f>
        <v/>
      </c>
      <c r="T5" t="n">
        <v>4</v>
      </c>
      <c r="V5" t="n">
        <v>23</v>
      </c>
      <c r="W5">
        <f>28+4</f>
        <v/>
      </c>
      <c r="X5">
        <f>28+25</f>
        <v/>
      </c>
      <c r="Y5" t="n">
        <v>6</v>
      </c>
      <c r="AA5" t="n">
        <v>21</v>
      </c>
      <c r="AB5">
        <f>28+8</f>
        <v/>
      </c>
      <c r="AC5">
        <f>28+18</f>
        <v/>
      </c>
      <c r="AD5" t="n">
        <v>5</v>
      </c>
      <c r="AF5" t="n">
        <v>28</v>
      </c>
      <c r="AG5">
        <f>28+2</f>
        <v/>
      </c>
      <c r="AH5">
        <f>28+16</f>
        <v/>
      </c>
      <c r="AI5" t="n">
        <v>10</v>
      </c>
      <c r="AK5" t="n">
        <v>19</v>
      </c>
      <c r="AL5">
        <f>28+12</f>
        <v/>
      </c>
      <c r="AM5">
        <f>28+15</f>
        <v/>
      </c>
      <c r="AN5" t="n">
        <v>13</v>
      </c>
      <c r="AP5" t="n">
        <v>25</v>
      </c>
      <c r="AQ5">
        <f>28+10</f>
        <v/>
      </c>
      <c r="AR5">
        <f>28+26</f>
        <v/>
      </c>
      <c r="AS5" t="n">
        <v>14</v>
      </c>
      <c r="AU5" t="n">
        <v>15</v>
      </c>
      <c r="AV5">
        <f>28+5</f>
        <v/>
      </c>
      <c r="AW5">
        <f>28+28</f>
        <v/>
      </c>
      <c r="AX5" t="n">
        <v>7</v>
      </c>
      <c r="AZ5" t="n">
        <v>26</v>
      </c>
      <c r="BA5">
        <f>28+9</f>
        <v/>
      </c>
      <c r="BB5">
        <f>28+24</f>
        <v/>
      </c>
      <c r="BC5" t="n">
        <v>1</v>
      </c>
      <c r="BE5" t="n">
        <v>22</v>
      </c>
      <c r="BF5">
        <f>28+13</f>
        <v/>
      </c>
      <c r="BG5">
        <f>28+23</f>
        <v/>
      </c>
      <c r="BH5" t="n">
        <v>2</v>
      </c>
      <c r="BJ5" t="n">
        <v>24</v>
      </c>
      <c r="BK5">
        <f>28+6</f>
        <v/>
      </c>
      <c r="BL5">
        <f>28+21</f>
        <v/>
      </c>
      <c r="BM5" t="n">
        <v>11</v>
      </c>
      <c r="BO5" t="n">
        <v>16</v>
      </c>
      <c r="BP5">
        <f>28+14</f>
        <v/>
      </c>
      <c r="BQ5">
        <f>28+20</f>
        <v/>
      </c>
      <c r="BR5" t="n">
        <v>9</v>
      </c>
    </row>
    <row r="6">
      <c r="A6" t="inlineStr">
        <is>
          <t>R4</t>
        </is>
      </c>
      <c r="B6">
        <f>28+25</f>
        <v/>
      </c>
      <c r="C6" t="n">
        <v>10</v>
      </c>
      <c r="D6" t="n">
        <v>18</v>
      </c>
      <c r="E6">
        <f>28+12</f>
        <v/>
      </c>
      <c r="G6">
        <f>28+17</f>
        <v/>
      </c>
      <c r="H6" t="n">
        <v>14</v>
      </c>
      <c r="I6" t="n">
        <v>19</v>
      </c>
      <c r="J6">
        <f>28+8</f>
        <v/>
      </c>
      <c r="L6">
        <f>28+22</f>
        <v/>
      </c>
      <c r="M6" t="n">
        <v>5</v>
      </c>
      <c r="N6" t="n">
        <v>22</v>
      </c>
      <c r="O6">
        <f>28+9</f>
        <v/>
      </c>
      <c r="Q6">
        <f>28+28</f>
        <v/>
      </c>
      <c r="R6" t="n">
        <v>12</v>
      </c>
      <c r="S6" t="n">
        <v>25</v>
      </c>
      <c r="T6">
        <f>28+2</f>
        <v/>
      </c>
      <c r="V6">
        <f>28+23</f>
        <v/>
      </c>
      <c r="W6" t="n">
        <v>11</v>
      </c>
      <c r="X6" t="n">
        <v>15</v>
      </c>
      <c r="Y6">
        <f>28+7</f>
        <v/>
      </c>
      <c r="AA6">
        <f>28+19</f>
        <v/>
      </c>
      <c r="AB6" t="n">
        <v>13</v>
      </c>
      <c r="AC6" t="n">
        <v>28</v>
      </c>
      <c r="AD6">
        <f>28+14</f>
        <v/>
      </c>
      <c r="AF6">
        <f>28+18</f>
        <v/>
      </c>
      <c r="AG6" t="n">
        <v>3</v>
      </c>
      <c r="AH6" t="n">
        <v>27</v>
      </c>
      <c r="AI6">
        <f>28+10</f>
        <v/>
      </c>
      <c r="AK6">
        <f>28+27</f>
        <v/>
      </c>
      <c r="AL6" t="n">
        <v>9</v>
      </c>
      <c r="AM6" t="n">
        <v>21</v>
      </c>
      <c r="AN6">
        <f>28+1</f>
        <v/>
      </c>
      <c r="AP6">
        <f>28+21</f>
        <v/>
      </c>
      <c r="AQ6" t="n">
        <v>8</v>
      </c>
      <c r="AR6" t="n">
        <v>17</v>
      </c>
      <c r="AS6">
        <f>28+13</f>
        <v/>
      </c>
      <c r="AU6">
        <f>28+24</f>
        <v/>
      </c>
      <c r="AV6" t="n">
        <v>6</v>
      </c>
      <c r="AW6" t="n">
        <v>16</v>
      </c>
      <c r="AX6">
        <f>28+6</f>
        <v/>
      </c>
      <c r="AZ6">
        <f>28+26</f>
        <v/>
      </c>
      <c r="BA6" t="n">
        <v>4</v>
      </c>
      <c r="BB6" t="n">
        <v>20</v>
      </c>
      <c r="BC6">
        <f>28+5</f>
        <v/>
      </c>
      <c r="BE6">
        <f>28+20</f>
        <v/>
      </c>
      <c r="BF6" t="n">
        <v>1</v>
      </c>
      <c r="BG6" t="n">
        <v>24</v>
      </c>
      <c r="BH6">
        <f>28+3</f>
        <v/>
      </c>
      <c r="BJ6">
        <f>28+15</f>
        <v/>
      </c>
      <c r="BK6" t="n">
        <v>7</v>
      </c>
      <c r="BL6" t="n">
        <v>26</v>
      </c>
      <c r="BM6">
        <f>28+4</f>
        <v/>
      </c>
      <c r="BO6">
        <f>28+16</f>
        <v/>
      </c>
      <c r="BP6" t="n">
        <v>2</v>
      </c>
      <c r="BQ6" t="n">
        <v>23</v>
      </c>
      <c r="BR6">
        <f>28+11</f>
        <v/>
      </c>
    </row>
    <row r="7">
      <c r="A7" t="inlineStr">
        <is>
          <t>R5</t>
        </is>
      </c>
      <c r="B7" t="n">
        <v>13</v>
      </c>
      <c r="C7" t="n">
        <v>26</v>
      </c>
      <c r="D7">
        <f>28+8</f>
        <v/>
      </c>
      <c r="E7">
        <f>28+23</f>
        <v/>
      </c>
      <c r="G7" t="n">
        <v>11</v>
      </c>
      <c r="H7" t="n">
        <v>18</v>
      </c>
      <c r="I7">
        <f>28+2</f>
        <v/>
      </c>
      <c r="J7">
        <f>28+22</f>
        <v/>
      </c>
      <c r="L7" t="n">
        <v>14</v>
      </c>
      <c r="M7" t="n">
        <v>15</v>
      </c>
      <c r="N7">
        <f>28+13</f>
        <v/>
      </c>
      <c r="O7">
        <f>28+24</f>
        <v/>
      </c>
      <c r="Q7" t="n">
        <v>10</v>
      </c>
      <c r="R7" t="n">
        <v>22</v>
      </c>
      <c r="S7">
        <f>28+3</f>
        <v/>
      </c>
      <c r="T7">
        <f>28+21</f>
        <v/>
      </c>
      <c r="V7" t="n">
        <v>5</v>
      </c>
      <c r="W7" t="n">
        <v>19</v>
      </c>
      <c r="X7">
        <f>28+5</f>
        <v/>
      </c>
      <c r="Y7">
        <f>28+19</f>
        <v/>
      </c>
      <c r="AA7" t="n">
        <v>6</v>
      </c>
      <c r="AB7" t="n">
        <v>20</v>
      </c>
      <c r="AC7">
        <f>28+9</f>
        <v/>
      </c>
      <c r="AD7">
        <f>28+15</f>
        <v/>
      </c>
      <c r="AF7" t="n">
        <v>8</v>
      </c>
      <c r="AG7" t="n">
        <v>25</v>
      </c>
      <c r="AH7">
        <f>28+6</f>
        <v/>
      </c>
      <c r="AI7">
        <f>28+27</f>
        <v/>
      </c>
      <c r="AK7" t="n">
        <v>7</v>
      </c>
      <c r="AL7" t="n">
        <v>23</v>
      </c>
      <c r="AM7">
        <f>28+10</f>
        <v/>
      </c>
      <c r="AN7">
        <f>28+20</f>
        <v/>
      </c>
      <c r="AP7" t="n">
        <v>12</v>
      </c>
      <c r="AQ7" t="n">
        <v>16</v>
      </c>
      <c r="AR7">
        <f>28+4</f>
        <v/>
      </c>
      <c r="AS7">
        <f>28+18</f>
        <v/>
      </c>
      <c r="AU7" t="n">
        <v>1</v>
      </c>
      <c r="AV7" t="n">
        <v>21</v>
      </c>
      <c r="AW7">
        <f>28+14</f>
        <v/>
      </c>
      <c r="AX7">
        <f>28+17</f>
        <v/>
      </c>
      <c r="AZ7" t="n">
        <v>2</v>
      </c>
      <c r="BA7" t="n">
        <v>27</v>
      </c>
      <c r="BB7">
        <f>28+12</f>
        <v/>
      </c>
      <c r="BC7">
        <f>28+28</f>
        <v/>
      </c>
      <c r="BE7" t="n">
        <v>9</v>
      </c>
      <c r="BF7" t="n">
        <v>17</v>
      </c>
      <c r="BG7">
        <f>28+7</f>
        <v/>
      </c>
      <c r="BH7">
        <f>28+16</f>
        <v/>
      </c>
      <c r="BJ7" t="n">
        <v>3</v>
      </c>
      <c r="BK7" t="n">
        <v>28</v>
      </c>
      <c r="BL7">
        <f>28+11</f>
        <v/>
      </c>
      <c r="BM7">
        <f>28+26</f>
        <v/>
      </c>
      <c r="BO7" t="n">
        <v>4</v>
      </c>
      <c r="BP7" t="n">
        <v>24</v>
      </c>
      <c r="BQ7">
        <f>28+1</f>
        <v/>
      </c>
      <c r="BR7">
        <f>28+25</f>
        <v/>
      </c>
    </row>
    <row r="8">
      <c r="A8" t="inlineStr">
        <is>
          <t>R6</t>
        </is>
      </c>
      <c r="B8">
        <f>28+6</f>
        <v/>
      </c>
      <c r="C8">
        <f>28+17</f>
        <v/>
      </c>
      <c r="D8" t="n">
        <v>9</v>
      </c>
      <c r="E8" t="n">
        <v>28</v>
      </c>
      <c r="G8">
        <f>28+13</f>
        <v/>
      </c>
      <c r="H8">
        <f>28+18</f>
        <v/>
      </c>
      <c r="I8" t="n">
        <v>4</v>
      </c>
      <c r="J8" t="n">
        <v>25</v>
      </c>
      <c r="L8">
        <f>28+14</f>
        <v/>
      </c>
      <c r="M8">
        <f>28+27</f>
        <v/>
      </c>
      <c r="N8" t="n">
        <v>12</v>
      </c>
      <c r="O8" t="n">
        <v>20</v>
      </c>
      <c r="Q8">
        <f>28+10</f>
        <v/>
      </c>
      <c r="R8">
        <f>28+19</f>
        <v/>
      </c>
      <c r="S8" t="n">
        <v>2</v>
      </c>
      <c r="T8" t="n">
        <v>21</v>
      </c>
      <c r="V8">
        <f>28+11</f>
        <v/>
      </c>
      <c r="W8">
        <f>28+24</f>
        <v/>
      </c>
      <c r="X8" t="n">
        <v>7</v>
      </c>
      <c r="Y8" t="n">
        <v>24</v>
      </c>
      <c r="AA8">
        <f>28+4</f>
        <v/>
      </c>
      <c r="AB8">
        <f>28+16</f>
        <v/>
      </c>
      <c r="AC8" t="n">
        <v>14</v>
      </c>
      <c r="AD8" t="n">
        <v>27</v>
      </c>
      <c r="AF8">
        <f>28+9</f>
        <v/>
      </c>
      <c r="AG8">
        <f>28+25</f>
        <v/>
      </c>
      <c r="AH8" t="n">
        <v>13</v>
      </c>
      <c r="AI8" t="n">
        <v>17</v>
      </c>
      <c r="AK8">
        <f>28+2</f>
        <v/>
      </c>
      <c r="AL8">
        <f>28+21</f>
        <v/>
      </c>
      <c r="AM8" t="n">
        <v>1</v>
      </c>
      <c r="AN8" t="n">
        <v>16</v>
      </c>
      <c r="AP8">
        <f>28+12</f>
        <v/>
      </c>
      <c r="AQ8">
        <f>28+20</f>
        <v/>
      </c>
      <c r="AR8" t="n">
        <v>5</v>
      </c>
      <c r="AS8" t="n">
        <v>15</v>
      </c>
      <c r="AU8">
        <f>28+3</f>
        <v/>
      </c>
      <c r="AV8">
        <f>28+15</f>
        <v/>
      </c>
      <c r="AW8" t="n">
        <v>11</v>
      </c>
      <c r="AX8" t="n">
        <v>23</v>
      </c>
      <c r="AZ8">
        <f>28+1</f>
        <v/>
      </c>
      <c r="BA8">
        <f>28+23</f>
        <v/>
      </c>
      <c r="BB8" t="n">
        <v>10</v>
      </c>
      <c r="BC8" t="n">
        <v>19</v>
      </c>
      <c r="BE8">
        <f>28+8</f>
        <v/>
      </c>
      <c r="BF8">
        <f>28+26</f>
        <v/>
      </c>
      <c r="BG8" t="n">
        <v>8</v>
      </c>
      <c r="BH8" t="n">
        <v>18</v>
      </c>
      <c r="BJ8">
        <f>28+7</f>
        <v/>
      </c>
      <c r="BK8">
        <f>28+28</f>
        <v/>
      </c>
      <c r="BL8" t="n">
        <v>6</v>
      </c>
      <c r="BM8" t="n">
        <v>22</v>
      </c>
      <c r="BO8">
        <f>28+5</f>
        <v/>
      </c>
      <c r="BP8">
        <f>28+22</f>
        <v/>
      </c>
      <c r="BQ8" t="n">
        <v>3</v>
      </c>
      <c r="BR8" t="n">
        <v>26</v>
      </c>
    </row>
    <row r="9">
      <c r="A9" t="inlineStr">
        <is>
          <t>R7</t>
        </is>
      </c>
      <c r="B9" t="n">
        <v>16</v>
      </c>
      <c r="C9">
        <f>28+13</f>
        <v/>
      </c>
      <c r="D9">
        <f>28+28</f>
        <v/>
      </c>
      <c r="E9" t="n">
        <v>5</v>
      </c>
      <c r="G9" t="n">
        <v>26</v>
      </c>
      <c r="H9">
        <f>28+3</f>
        <v/>
      </c>
      <c r="I9">
        <f>28+27</f>
        <v/>
      </c>
      <c r="J9" t="n">
        <v>6</v>
      </c>
      <c r="L9" t="n">
        <v>28</v>
      </c>
      <c r="M9">
        <f>28+10</f>
        <v/>
      </c>
      <c r="N9">
        <f>28+25</f>
        <v/>
      </c>
      <c r="O9" t="n">
        <v>1</v>
      </c>
      <c r="Q9" t="n">
        <v>20</v>
      </c>
      <c r="R9">
        <f>28+4</f>
        <v/>
      </c>
      <c r="S9">
        <f>28+24</f>
        <v/>
      </c>
      <c r="T9" t="n">
        <v>13</v>
      </c>
      <c r="V9" t="n">
        <v>17</v>
      </c>
      <c r="W9">
        <f>28+1</f>
        <v/>
      </c>
      <c r="X9">
        <f>28+26</f>
        <v/>
      </c>
      <c r="Y9" t="n">
        <v>2</v>
      </c>
      <c r="AA9" t="n">
        <v>24</v>
      </c>
      <c r="AB9">
        <f>28+5</f>
        <v/>
      </c>
      <c r="AC9">
        <f>28+23</f>
        <v/>
      </c>
      <c r="AD9" t="n">
        <v>12</v>
      </c>
      <c r="AF9" t="n">
        <v>21</v>
      </c>
      <c r="AG9">
        <f>28+7</f>
        <v/>
      </c>
      <c r="AH9">
        <f>28+21</f>
        <v/>
      </c>
      <c r="AI9" t="n">
        <v>7</v>
      </c>
      <c r="AK9" t="n">
        <v>22</v>
      </c>
      <c r="AL9">
        <f>28+11</f>
        <v/>
      </c>
      <c r="AM9">
        <f>28+17</f>
        <v/>
      </c>
      <c r="AN9" t="n">
        <v>8</v>
      </c>
      <c r="AP9" t="n">
        <v>27</v>
      </c>
      <c r="AQ9">
        <f>28+8</f>
        <v/>
      </c>
      <c r="AR9">
        <f>28+15</f>
        <v/>
      </c>
      <c r="AS9" t="n">
        <v>10</v>
      </c>
      <c r="AU9" t="n">
        <v>25</v>
      </c>
      <c r="AV9">
        <f>28+12</f>
        <v/>
      </c>
      <c r="AW9">
        <f>28+22</f>
        <v/>
      </c>
      <c r="AX9" t="n">
        <v>9</v>
      </c>
      <c r="AZ9" t="n">
        <v>18</v>
      </c>
      <c r="BA9">
        <f>28+6</f>
        <v/>
      </c>
      <c r="BB9">
        <f>28+20</f>
        <v/>
      </c>
      <c r="BC9" t="n">
        <v>14</v>
      </c>
      <c r="BE9" t="n">
        <v>23</v>
      </c>
      <c r="BF9">
        <f>28+2</f>
        <v/>
      </c>
      <c r="BG9">
        <f>28+19</f>
        <v/>
      </c>
      <c r="BH9" t="n">
        <v>3</v>
      </c>
      <c r="BJ9" t="n">
        <v>15</v>
      </c>
      <c r="BK9">
        <f>28+14</f>
        <v/>
      </c>
      <c r="BL9">
        <f>28+16</f>
        <v/>
      </c>
      <c r="BM9" t="n">
        <v>4</v>
      </c>
      <c r="BO9" t="n">
        <v>19</v>
      </c>
      <c r="BP9">
        <f>28+9</f>
        <v/>
      </c>
      <c r="BQ9">
        <f>28+18</f>
        <v/>
      </c>
      <c r="BR9" t="n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W9"/>
  <sheetViews>
    <sheetView zoomScaleNormal="100" workbookViewId="0">
      <selection activeCell="A1" sqref="A1"/>
    </sheetView>
  </sheetViews>
  <sheetFormatPr baseColWidth="8" defaultColWidth="9.1406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4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4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4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4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4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4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4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4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4" customWidth="1" min="46" max="46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  <col width="4" customWidth="1" min="51" max="51"/>
    <col width="8.28515625" bestFit="1" customWidth="1" min="52" max="52"/>
    <col width="6.140625" bestFit="1" customWidth="1" min="53" max="53"/>
    <col width="5.5703125" bestFit="1" customWidth="1" min="54" max="54"/>
    <col width="6.140625" bestFit="1" customWidth="1" min="55" max="55"/>
    <col width="4" customWidth="1" min="56" max="56"/>
    <col width="8.28515625" bestFit="1" customWidth="1" min="57" max="57"/>
    <col width="6.140625" bestFit="1" customWidth="1" min="58" max="58"/>
    <col width="5.5703125" bestFit="1" customWidth="1" min="59" max="59"/>
    <col width="6.140625" bestFit="1" customWidth="1" min="60" max="60"/>
    <col width="4" customWidth="1" min="61" max="61"/>
    <col width="8.28515625" bestFit="1" customWidth="1" min="62" max="62"/>
    <col width="6.140625" bestFit="1" customWidth="1" min="63" max="63"/>
    <col width="5.5703125" bestFit="1" customWidth="1" min="64" max="64"/>
    <col width="6.140625" bestFit="1" customWidth="1" min="65" max="65"/>
    <col width="4" customWidth="1" min="66" max="66"/>
    <col width="8.28515625" bestFit="1" customWidth="1" min="67" max="67"/>
    <col width="6.140625" bestFit="1" customWidth="1" min="68" max="68"/>
    <col width="5.5703125" bestFit="1" customWidth="1" min="69" max="69"/>
    <col width="6.140625" bestFit="1" customWidth="1" min="70" max="70"/>
    <col width="4" customWidth="1" min="71" max="71"/>
    <col width="8.28515625" bestFit="1" customWidth="1" min="72" max="72"/>
    <col width="6.140625" bestFit="1" customWidth="1" min="73" max="73"/>
    <col width="5.5703125" bestFit="1" customWidth="1" min="74" max="74"/>
    <col width="6.140625" bestFit="1" customWidth="1" min="75" max="75"/>
    <col width="5.42578125" customWidth="1" min="76" max="76"/>
    <col width="6" bestFit="1" customWidth="1" min="77" max="77"/>
    <col width="7.7109375" bestFit="1" customWidth="1" min="78" max="78"/>
    <col width="6.5703125" bestFit="1" customWidth="1" min="79" max="79"/>
    <col width="7.140625" bestFit="1" customWidth="1" min="80" max="80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  <c r="AZ1" t="inlineStr">
        <is>
          <t>Table 11</t>
        </is>
      </c>
      <c r="BE1" t="inlineStr">
        <is>
          <t>Table 12</t>
        </is>
      </c>
      <c r="BJ1" t="inlineStr">
        <is>
          <t>Table 13</t>
        </is>
      </c>
      <c r="BO1" t="inlineStr">
        <is>
          <t>Table 14</t>
        </is>
      </c>
      <c r="BT1" t="inlineStr">
        <is>
          <t>Table 15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  <c r="AZ2" t="inlineStr">
        <is>
          <t>East</t>
        </is>
      </c>
      <c r="BA2" t="inlineStr">
        <is>
          <t>South</t>
        </is>
      </c>
      <c r="BB2" t="inlineStr">
        <is>
          <t>West</t>
        </is>
      </c>
      <c r="BC2" t="inlineStr">
        <is>
          <t>North</t>
        </is>
      </c>
      <c r="BE2" t="inlineStr">
        <is>
          <t>East</t>
        </is>
      </c>
      <c r="BF2" t="inlineStr">
        <is>
          <t>South</t>
        </is>
      </c>
      <c r="BG2" t="inlineStr">
        <is>
          <t>West</t>
        </is>
      </c>
      <c r="BH2" t="inlineStr">
        <is>
          <t>North</t>
        </is>
      </c>
      <c r="BJ2" t="inlineStr">
        <is>
          <t>East</t>
        </is>
      </c>
      <c r="BK2" t="inlineStr">
        <is>
          <t>South</t>
        </is>
      </c>
      <c r="BL2" t="inlineStr">
        <is>
          <t>West</t>
        </is>
      </c>
      <c r="BM2" t="inlineStr">
        <is>
          <t>North</t>
        </is>
      </c>
      <c r="BO2" t="inlineStr">
        <is>
          <t>East</t>
        </is>
      </c>
      <c r="BP2" t="inlineStr">
        <is>
          <t>South</t>
        </is>
      </c>
      <c r="BQ2" t="inlineStr">
        <is>
          <t>West</t>
        </is>
      </c>
      <c r="BR2" t="inlineStr">
        <is>
          <t>North</t>
        </is>
      </c>
      <c r="BT2" t="inlineStr">
        <is>
          <t>East</t>
        </is>
      </c>
      <c r="BU2" t="inlineStr">
        <is>
          <t>South</t>
        </is>
      </c>
      <c r="BV2" t="inlineStr">
        <is>
          <t>West</t>
        </is>
      </c>
      <c r="BW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16</v>
      </c>
      <c r="D3">
        <f>30+1</f>
        <v/>
      </c>
      <c r="E3">
        <f>30+16</f>
        <v/>
      </c>
      <c r="G3" t="n">
        <v>3</v>
      </c>
      <c r="H3" t="n">
        <v>23</v>
      </c>
      <c r="I3">
        <f>30+9</f>
        <v/>
      </c>
      <c r="J3">
        <f>30+25</f>
        <v/>
      </c>
      <c r="L3" t="n">
        <v>2</v>
      </c>
      <c r="M3" t="n">
        <v>19</v>
      </c>
      <c r="N3">
        <f>30+15</f>
        <v/>
      </c>
      <c r="O3">
        <f>30+27</f>
        <v/>
      </c>
      <c r="Q3" t="n">
        <v>14</v>
      </c>
      <c r="R3" t="n">
        <v>28</v>
      </c>
      <c r="S3">
        <f>30+7</f>
        <v/>
      </c>
      <c r="T3">
        <f>30+30</f>
        <v/>
      </c>
      <c r="V3" t="n">
        <v>8</v>
      </c>
      <c r="W3" t="n">
        <v>24</v>
      </c>
      <c r="X3">
        <f>30+4</f>
        <v/>
      </c>
      <c r="Y3">
        <f>30+21</f>
        <v/>
      </c>
      <c r="AA3" t="n">
        <v>4</v>
      </c>
      <c r="AB3" t="n">
        <v>30</v>
      </c>
      <c r="AC3">
        <f>30+2</f>
        <v/>
      </c>
      <c r="AD3">
        <f>30+24</f>
        <v/>
      </c>
      <c r="AF3" t="n">
        <v>11</v>
      </c>
      <c r="AG3" t="n">
        <v>20</v>
      </c>
      <c r="AH3">
        <f>30+12</f>
        <v/>
      </c>
      <c r="AI3">
        <f>30+18</f>
        <v/>
      </c>
      <c r="AK3" t="n">
        <v>13</v>
      </c>
      <c r="AL3" t="n">
        <v>26</v>
      </c>
      <c r="AM3">
        <f>30+3</f>
        <v/>
      </c>
      <c r="AN3">
        <f>30+22</f>
        <v/>
      </c>
      <c r="AP3" t="n">
        <v>15</v>
      </c>
      <c r="AQ3" t="n">
        <v>18</v>
      </c>
      <c r="AR3">
        <f>30+6</f>
        <v/>
      </c>
      <c r="AS3">
        <f>30+17</f>
        <v/>
      </c>
      <c r="AU3" t="n">
        <v>12</v>
      </c>
      <c r="AV3" t="n">
        <v>22</v>
      </c>
      <c r="AW3">
        <f>30+11</f>
        <v/>
      </c>
      <c r="AX3">
        <f>30+29</f>
        <v/>
      </c>
      <c r="AZ3" t="n">
        <v>5</v>
      </c>
      <c r="BA3" t="n">
        <v>17</v>
      </c>
      <c r="BB3">
        <f>30+13</f>
        <v/>
      </c>
      <c r="BC3">
        <f>30+23</f>
        <v/>
      </c>
      <c r="BE3" t="n">
        <v>7</v>
      </c>
      <c r="BF3" t="n">
        <v>29</v>
      </c>
      <c r="BG3">
        <f>30+10</f>
        <v/>
      </c>
      <c r="BH3">
        <f>30+19</f>
        <v/>
      </c>
      <c r="BJ3" t="n">
        <v>10</v>
      </c>
      <c r="BK3" t="n">
        <v>21</v>
      </c>
      <c r="BL3">
        <f>30+5</f>
        <v/>
      </c>
      <c r="BM3">
        <f>30+26</f>
        <v/>
      </c>
      <c r="BO3" t="n">
        <v>6</v>
      </c>
      <c r="BP3" t="n">
        <v>25</v>
      </c>
      <c r="BQ3">
        <f>30+8</f>
        <v/>
      </c>
      <c r="BR3">
        <f>30+20</f>
        <v/>
      </c>
      <c r="BT3" t="n">
        <v>9</v>
      </c>
      <c r="BU3" t="n">
        <v>27</v>
      </c>
      <c r="BV3">
        <f>30+14</f>
        <v/>
      </c>
      <c r="BW3">
        <f>30+28</f>
        <v/>
      </c>
    </row>
    <row r="4">
      <c r="A4" t="inlineStr">
        <is>
          <t>R2</t>
        </is>
      </c>
      <c r="B4">
        <f>30+9</f>
        <v/>
      </c>
      <c r="C4">
        <f>30+21</f>
        <v/>
      </c>
      <c r="D4" t="n">
        <v>7</v>
      </c>
      <c r="E4" t="n">
        <v>26</v>
      </c>
      <c r="G4">
        <f>30+2</f>
        <v/>
      </c>
      <c r="H4">
        <f>30+17</f>
        <v/>
      </c>
      <c r="I4" t="n">
        <v>2</v>
      </c>
      <c r="J4" t="n">
        <v>17</v>
      </c>
      <c r="L4">
        <f>30+10</f>
        <v/>
      </c>
      <c r="M4">
        <f>30+26</f>
        <v/>
      </c>
      <c r="N4" t="n">
        <v>4</v>
      </c>
      <c r="O4" t="n">
        <v>24</v>
      </c>
      <c r="Q4">
        <f>30+15</f>
        <v/>
      </c>
      <c r="R4">
        <f>30+28</f>
        <v/>
      </c>
      <c r="S4" t="n">
        <v>3</v>
      </c>
      <c r="T4" t="n">
        <v>20</v>
      </c>
      <c r="V4">
        <f>30+8</f>
        <v/>
      </c>
      <c r="W4">
        <f>30+30</f>
        <v/>
      </c>
      <c r="X4" t="n">
        <v>1</v>
      </c>
      <c r="Y4" t="n">
        <v>29</v>
      </c>
      <c r="AA4">
        <f>30+5</f>
        <v/>
      </c>
      <c r="AB4">
        <f>30+22</f>
        <v/>
      </c>
      <c r="AC4" t="n">
        <v>9</v>
      </c>
      <c r="AD4" t="n">
        <v>25</v>
      </c>
      <c r="AF4">
        <f>30+3</f>
        <v/>
      </c>
      <c r="AG4">
        <f>30+25</f>
        <v/>
      </c>
      <c r="AH4" t="n">
        <v>5</v>
      </c>
      <c r="AI4" t="n">
        <v>30</v>
      </c>
      <c r="AK4">
        <f>30+13</f>
        <v/>
      </c>
      <c r="AL4">
        <f>30+19</f>
        <v/>
      </c>
      <c r="AM4" t="n">
        <v>12</v>
      </c>
      <c r="AN4" t="n">
        <v>21</v>
      </c>
      <c r="AP4">
        <f>30+4</f>
        <v/>
      </c>
      <c r="AQ4">
        <f>30+23</f>
        <v/>
      </c>
      <c r="AR4" t="n">
        <v>14</v>
      </c>
      <c r="AS4" t="n">
        <v>27</v>
      </c>
      <c r="AU4">
        <f>30+7</f>
        <v/>
      </c>
      <c r="AV4">
        <f>30+18</f>
        <v/>
      </c>
      <c r="AW4" t="n">
        <v>15</v>
      </c>
      <c r="AX4" t="n">
        <v>19</v>
      </c>
      <c r="AZ4">
        <f>30+12</f>
        <v/>
      </c>
      <c r="BA4">
        <f>30+16</f>
        <v/>
      </c>
      <c r="BB4" t="n">
        <v>13</v>
      </c>
      <c r="BC4" t="n">
        <v>23</v>
      </c>
      <c r="BE4">
        <f>30+14</f>
        <v/>
      </c>
      <c r="BF4">
        <f>30+24</f>
        <v/>
      </c>
      <c r="BG4" t="n">
        <v>6</v>
      </c>
      <c r="BH4" t="n">
        <v>18</v>
      </c>
      <c r="BJ4">
        <f>30+11</f>
        <v/>
      </c>
      <c r="BK4">
        <f>30+20</f>
        <v/>
      </c>
      <c r="BL4" t="n">
        <v>8</v>
      </c>
      <c r="BM4" t="n">
        <v>16</v>
      </c>
      <c r="BO4">
        <f>30+6</f>
        <v/>
      </c>
      <c r="BP4">
        <f>30+27</f>
        <v/>
      </c>
      <c r="BQ4" t="n">
        <v>11</v>
      </c>
      <c r="BR4" t="n">
        <v>22</v>
      </c>
      <c r="BT4">
        <f>30+1</f>
        <v/>
      </c>
      <c r="BU4">
        <f>30+29</f>
        <v/>
      </c>
      <c r="BV4" t="n">
        <v>10</v>
      </c>
      <c r="BW4" t="n">
        <v>28</v>
      </c>
    </row>
    <row r="5">
      <c r="A5" t="inlineStr">
        <is>
          <t>R3</t>
        </is>
      </c>
      <c r="B5" t="n">
        <v>23</v>
      </c>
      <c r="C5">
        <f>30+7</f>
        <v/>
      </c>
      <c r="D5">
        <f>30+28</f>
        <v/>
      </c>
      <c r="E5" t="n">
        <v>12</v>
      </c>
      <c r="G5" t="n">
        <v>27</v>
      </c>
      <c r="H5">
        <f>30+10</f>
        <v/>
      </c>
      <c r="I5">
        <f>30+22</f>
        <v/>
      </c>
      <c r="J5" t="n">
        <v>8</v>
      </c>
      <c r="L5" t="n">
        <v>18</v>
      </c>
      <c r="M5">
        <f>30+3</f>
        <v/>
      </c>
      <c r="N5">
        <f>30+18</f>
        <v/>
      </c>
      <c r="O5" t="n">
        <v>3</v>
      </c>
      <c r="Q5" t="n">
        <v>25</v>
      </c>
      <c r="R5">
        <f>30+11</f>
        <v/>
      </c>
      <c r="S5">
        <f>30+27</f>
        <v/>
      </c>
      <c r="T5" t="n">
        <v>5</v>
      </c>
      <c r="V5" t="n">
        <v>21</v>
      </c>
      <c r="W5">
        <f>30+15</f>
        <v/>
      </c>
      <c r="X5">
        <f>30+29</f>
        <v/>
      </c>
      <c r="Y5" t="n">
        <v>4</v>
      </c>
      <c r="AA5" t="n">
        <v>16</v>
      </c>
      <c r="AB5">
        <f>30+9</f>
        <v/>
      </c>
      <c r="AC5">
        <f>30+30</f>
        <v/>
      </c>
      <c r="AD5" t="n">
        <v>2</v>
      </c>
      <c r="AF5" t="n">
        <v>26</v>
      </c>
      <c r="AG5">
        <f>30+6</f>
        <v/>
      </c>
      <c r="AH5">
        <f>30+23</f>
        <v/>
      </c>
      <c r="AI5" t="n">
        <v>10</v>
      </c>
      <c r="AK5" t="n">
        <v>30</v>
      </c>
      <c r="AL5">
        <f>30+4</f>
        <v/>
      </c>
      <c r="AM5">
        <f>30+26</f>
        <v/>
      </c>
      <c r="AN5" t="n">
        <v>6</v>
      </c>
      <c r="AP5" t="n">
        <v>22</v>
      </c>
      <c r="AQ5">
        <f>30+14</f>
        <v/>
      </c>
      <c r="AR5">
        <f>30+20</f>
        <v/>
      </c>
      <c r="AS5" t="n">
        <v>13</v>
      </c>
      <c r="AU5" t="n">
        <v>28</v>
      </c>
      <c r="AV5">
        <f>30+5</f>
        <v/>
      </c>
      <c r="AW5">
        <f>30+24</f>
        <v/>
      </c>
      <c r="AX5" t="n">
        <v>1</v>
      </c>
      <c r="AZ5" t="n">
        <v>20</v>
      </c>
      <c r="BA5">
        <f>30+8</f>
        <v/>
      </c>
      <c r="BB5">
        <f>30+19</f>
        <v/>
      </c>
      <c r="BC5" t="n">
        <v>15</v>
      </c>
      <c r="BE5" t="n">
        <v>24</v>
      </c>
      <c r="BF5">
        <f>30+13</f>
        <v/>
      </c>
      <c r="BG5">
        <f>30+17</f>
        <v/>
      </c>
      <c r="BH5" t="n">
        <v>14</v>
      </c>
      <c r="BJ5" t="n">
        <v>19</v>
      </c>
      <c r="BK5">
        <f>30+1</f>
        <v/>
      </c>
      <c r="BL5">
        <f>30+25</f>
        <v/>
      </c>
      <c r="BM5" t="n">
        <v>7</v>
      </c>
      <c r="BO5" t="n">
        <v>17</v>
      </c>
      <c r="BP5">
        <f>30+12</f>
        <v/>
      </c>
      <c r="BQ5">
        <f>30+21</f>
        <v/>
      </c>
      <c r="BR5" t="n">
        <v>9</v>
      </c>
      <c r="BT5" t="n">
        <v>29</v>
      </c>
      <c r="BU5">
        <f>30+2</f>
        <v/>
      </c>
      <c r="BV5">
        <f>30+16</f>
        <v/>
      </c>
      <c r="BW5" t="n">
        <v>11</v>
      </c>
    </row>
    <row r="6">
      <c r="A6" t="inlineStr">
        <is>
          <t>R4</t>
        </is>
      </c>
      <c r="B6">
        <f>30+22</f>
        <v/>
      </c>
      <c r="C6" t="n">
        <v>10</v>
      </c>
      <c r="D6" t="n">
        <v>18</v>
      </c>
      <c r="E6">
        <f>30+13</f>
        <v/>
      </c>
      <c r="G6">
        <f>30+29</f>
        <v/>
      </c>
      <c r="H6" t="n">
        <v>13</v>
      </c>
      <c r="I6" t="n">
        <v>24</v>
      </c>
      <c r="J6">
        <f>30+8</f>
        <v/>
      </c>
      <c r="L6">
        <f>30+23</f>
        <v/>
      </c>
      <c r="M6" t="n">
        <v>9</v>
      </c>
      <c r="N6" t="n">
        <v>28</v>
      </c>
      <c r="O6">
        <f>30+11</f>
        <v/>
      </c>
      <c r="Q6">
        <f>30+19</f>
        <v/>
      </c>
      <c r="R6" t="n">
        <v>4</v>
      </c>
      <c r="S6" t="n">
        <v>19</v>
      </c>
      <c r="T6">
        <f>30+4</f>
        <v/>
      </c>
      <c r="V6">
        <f>30+28</f>
        <v/>
      </c>
      <c r="W6" t="n">
        <v>6</v>
      </c>
      <c r="X6" t="n">
        <v>26</v>
      </c>
      <c r="Y6">
        <f>30+12</f>
        <v/>
      </c>
      <c r="AA6">
        <f>30+16</f>
        <v/>
      </c>
      <c r="AB6" t="n">
        <v>5</v>
      </c>
      <c r="AC6" t="n">
        <v>22</v>
      </c>
      <c r="AD6">
        <f>30+15</f>
        <v/>
      </c>
      <c r="AF6">
        <f>30+30</f>
        <v/>
      </c>
      <c r="AG6" t="n">
        <v>3</v>
      </c>
      <c r="AH6" t="n">
        <v>17</v>
      </c>
      <c r="AI6">
        <f>30+10</f>
        <v/>
      </c>
      <c r="AK6">
        <f>30+24</f>
        <v/>
      </c>
      <c r="AL6" t="n">
        <v>11</v>
      </c>
      <c r="AM6" t="n">
        <v>27</v>
      </c>
      <c r="AN6">
        <f>30+7</f>
        <v/>
      </c>
      <c r="AP6">
        <f>30+27</f>
        <v/>
      </c>
      <c r="AQ6" t="n">
        <v>7</v>
      </c>
      <c r="AR6" t="n">
        <v>30</v>
      </c>
      <c r="AS6">
        <f>30+5</f>
        <v/>
      </c>
      <c r="AU6">
        <f>30+21</f>
        <v/>
      </c>
      <c r="AV6" t="n">
        <v>14</v>
      </c>
      <c r="AW6" t="n">
        <v>23</v>
      </c>
      <c r="AX6">
        <f>30+1</f>
        <v/>
      </c>
      <c r="AZ6">
        <f>30+25</f>
        <v/>
      </c>
      <c r="BA6" t="n">
        <v>2</v>
      </c>
      <c r="BB6" t="n">
        <v>29</v>
      </c>
      <c r="BC6">
        <f>30+6</f>
        <v/>
      </c>
      <c r="BE6">
        <f>30+20</f>
        <v/>
      </c>
      <c r="BF6" t="n">
        <v>15</v>
      </c>
      <c r="BG6" t="n">
        <v>21</v>
      </c>
      <c r="BH6">
        <f>30+9</f>
        <v/>
      </c>
      <c r="BJ6">
        <f>30+18</f>
        <v/>
      </c>
      <c r="BK6" t="n">
        <v>1</v>
      </c>
      <c r="BL6" t="n">
        <v>25</v>
      </c>
      <c r="BM6">
        <f>30+14</f>
        <v/>
      </c>
      <c r="BO6">
        <f>30+26</f>
        <v/>
      </c>
      <c r="BP6" t="n">
        <v>8</v>
      </c>
      <c r="BQ6" t="n">
        <v>20</v>
      </c>
      <c r="BR6">
        <f>30+2</f>
        <v/>
      </c>
      <c r="BT6">
        <f>30+17</f>
        <v/>
      </c>
      <c r="BU6" t="n">
        <v>12</v>
      </c>
      <c r="BV6" t="n">
        <v>16</v>
      </c>
      <c r="BW6">
        <f>30+3</f>
        <v/>
      </c>
    </row>
    <row r="7">
      <c r="A7" t="inlineStr">
        <is>
          <t>R5</t>
        </is>
      </c>
      <c r="B7" t="n">
        <v>9</v>
      </c>
      <c r="C7" t="n">
        <v>21</v>
      </c>
      <c r="D7">
        <f>30+3</f>
        <v/>
      </c>
      <c r="E7">
        <f>30+27</f>
        <v/>
      </c>
      <c r="G7" t="n">
        <v>11</v>
      </c>
      <c r="H7" t="n">
        <v>19</v>
      </c>
      <c r="I7">
        <f>30+14</f>
        <v/>
      </c>
      <c r="J7">
        <f>30+23</f>
        <v/>
      </c>
      <c r="L7" t="n">
        <v>14</v>
      </c>
      <c r="M7" t="n">
        <v>25</v>
      </c>
      <c r="N7">
        <f>30+9</f>
        <v/>
      </c>
      <c r="O7">
        <f>30+16</f>
        <v/>
      </c>
      <c r="Q7" t="n">
        <v>10</v>
      </c>
      <c r="R7" t="n">
        <v>29</v>
      </c>
      <c r="S7">
        <f>30+12</f>
        <v/>
      </c>
      <c r="T7">
        <f>30+24</f>
        <v/>
      </c>
      <c r="V7" t="n">
        <v>5</v>
      </c>
      <c r="W7" t="n">
        <v>20</v>
      </c>
      <c r="X7">
        <f>30+5</f>
        <v/>
      </c>
      <c r="Y7">
        <f>30+20</f>
        <v/>
      </c>
      <c r="AA7" t="n">
        <v>7</v>
      </c>
      <c r="AB7" t="n">
        <v>27</v>
      </c>
      <c r="AC7">
        <f>30+13</f>
        <v/>
      </c>
      <c r="AD7">
        <f>30+29</f>
        <v/>
      </c>
      <c r="AF7" t="n">
        <v>6</v>
      </c>
      <c r="AG7" t="n">
        <v>23</v>
      </c>
      <c r="AH7">
        <f>30+15</f>
        <v/>
      </c>
      <c r="AI7">
        <f>30+17</f>
        <v/>
      </c>
      <c r="AK7" t="n">
        <v>4</v>
      </c>
      <c r="AL7" t="n">
        <v>18</v>
      </c>
      <c r="AM7">
        <f>30+11</f>
        <v/>
      </c>
      <c r="AN7">
        <f>30+30</f>
        <v/>
      </c>
      <c r="AP7" t="n">
        <v>12</v>
      </c>
      <c r="AQ7" t="n">
        <v>28</v>
      </c>
      <c r="AR7">
        <f>30+8</f>
        <v/>
      </c>
      <c r="AS7">
        <f>30+25</f>
        <v/>
      </c>
      <c r="AU7" t="n">
        <v>8</v>
      </c>
      <c r="AV7" t="n">
        <v>30</v>
      </c>
      <c r="AW7">
        <f>30+6</f>
        <v/>
      </c>
      <c r="AX7">
        <f>30+28</f>
        <v/>
      </c>
      <c r="AZ7" t="n">
        <v>1</v>
      </c>
      <c r="BA7" t="n">
        <v>24</v>
      </c>
      <c r="BB7">
        <f>30+2</f>
        <v/>
      </c>
      <c r="BC7">
        <f>30+22</f>
        <v/>
      </c>
      <c r="BE7" t="n">
        <v>3</v>
      </c>
      <c r="BF7" t="n">
        <v>16</v>
      </c>
      <c r="BG7">
        <f>30+7</f>
        <v/>
      </c>
      <c r="BH7">
        <f>30+26</f>
        <v/>
      </c>
      <c r="BJ7" t="n">
        <v>15</v>
      </c>
      <c r="BK7" t="n">
        <v>22</v>
      </c>
      <c r="BL7">
        <f>30+10</f>
        <v/>
      </c>
      <c r="BM7">
        <f>30+21</f>
        <v/>
      </c>
      <c r="BO7" t="n">
        <v>2</v>
      </c>
      <c r="BP7" t="n">
        <v>26</v>
      </c>
      <c r="BQ7">
        <f>30+1</f>
        <v/>
      </c>
      <c r="BR7">
        <f>30+19</f>
        <v/>
      </c>
      <c r="BT7" t="n">
        <v>13</v>
      </c>
      <c r="BU7" t="n">
        <v>17</v>
      </c>
      <c r="BV7">
        <f>30+4</f>
        <v/>
      </c>
      <c r="BW7">
        <f>30+18</f>
        <v/>
      </c>
    </row>
    <row r="8">
      <c r="A8" t="inlineStr">
        <is>
          <t>R6</t>
        </is>
      </c>
      <c r="B8">
        <f>30+2</f>
        <v/>
      </c>
      <c r="C8">
        <f>30+20</f>
        <v/>
      </c>
      <c r="D8" t="n">
        <v>3</v>
      </c>
      <c r="E8" t="n">
        <v>27</v>
      </c>
      <c r="G8">
        <f>30+4</f>
        <v/>
      </c>
      <c r="H8">
        <f>30+28</f>
        <v/>
      </c>
      <c r="I8" t="n">
        <v>10</v>
      </c>
      <c r="J8" t="n">
        <v>22</v>
      </c>
      <c r="L8">
        <f>30+1</f>
        <v/>
      </c>
      <c r="M8">
        <f>30+24</f>
        <v/>
      </c>
      <c r="N8" t="n">
        <v>12</v>
      </c>
      <c r="O8" t="n">
        <v>20</v>
      </c>
      <c r="Q8">
        <f>30+10</f>
        <v/>
      </c>
      <c r="R8">
        <f>30+17</f>
        <v/>
      </c>
      <c r="S8" t="n">
        <v>1</v>
      </c>
      <c r="T8" t="n">
        <v>26</v>
      </c>
      <c r="V8">
        <f>30+13</f>
        <v/>
      </c>
      <c r="W8">
        <f>30+25</f>
        <v/>
      </c>
      <c r="X8" t="n">
        <v>11</v>
      </c>
      <c r="Y8" t="n">
        <v>16</v>
      </c>
      <c r="AA8">
        <f>30+6</f>
        <v/>
      </c>
      <c r="AB8">
        <f>30+21</f>
        <v/>
      </c>
      <c r="AC8" t="n">
        <v>6</v>
      </c>
      <c r="AD8" t="n">
        <v>21</v>
      </c>
      <c r="AF8">
        <f>30+14</f>
        <v/>
      </c>
      <c r="AG8">
        <f>30+16</f>
        <v/>
      </c>
      <c r="AH8" t="n">
        <v>8</v>
      </c>
      <c r="AI8" t="n">
        <v>28</v>
      </c>
      <c r="AK8">
        <f>30+15</f>
        <v/>
      </c>
      <c r="AL8">
        <f>30+18</f>
        <v/>
      </c>
      <c r="AM8" t="n">
        <v>7</v>
      </c>
      <c r="AN8" t="n">
        <v>24</v>
      </c>
      <c r="AP8">
        <f>30+12</f>
        <v/>
      </c>
      <c r="AQ8">
        <f>30+30</f>
        <v/>
      </c>
      <c r="AR8" t="n">
        <v>5</v>
      </c>
      <c r="AS8" t="n">
        <v>19</v>
      </c>
      <c r="AU8">
        <f>30+9</f>
        <v/>
      </c>
      <c r="AV8">
        <f>30+26</f>
        <v/>
      </c>
      <c r="AW8" t="n">
        <v>13</v>
      </c>
      <c r="AX8" t="n">
        <v>29</v>
      </c>
      <c r="AZ8">
        <f>30+7</f>
        <v/>
      </c>
      <c r="BA8">
        <f>30+29</f>
        <v/>
      </c>
      <c r="BB8" t="n">
        <v>9</v>
      </c>
      <c r="BC8" t="n">
        <v>30</v>
      </c>
      <c r="BE8">
        <f>30+3</f>
        <v/>
      </c>
      <c r="BF8">
        <f>30+23</f>
        <v/>
      </c>
      <c r="BG8" t="n">
        <v>2</v>
      </c>
      <c r="BH8" t="n">
        <v>25</v>
      </c>
      <c r="BJ8">
        <f>30+8</f>
        <v/>
      </c>
      <c r="BK8">
        <f>30+27</f>
        <v/>
      </c>
      <c r="BL8" t="n">
        <v>4</v>
      </c>
      <c r="BM8" t="n">
        <v>17</v>
      </c>
      <c r="BO8">
        <f>30+11</f>
        <v/>
      </c>
      <c r="BP8">
        <f>30+22</f>
        <v/>
      </c>
      <c r="BQ8" t="n">
        <v>15</v>
      </c>
      <c r="BR8" t="n">
        <v>23</v>
      </c>
      <c r="BT8">
        <f>30+5</f>
        <v/>
      </c>
      <c r="BU8">
        <f>30+19</f>
        <v/>
      </c>
      <c r="BV8" t="n">
        <v>14</v>
      </c>
      <c r="BW8" t="n">
        <v>18</v>
      </c>
    </row>
    <row r="9">
      <c r="A9" t="inlineStr">
        <is>
          <t>R7</t>
        </is>
      </c>
      <c r="B9" t="n">
        <v>24</v>
      </c>
      <c r="C9">
        <f>30+12</f>
        <v/>
      </c>
      <c r="D9">
        <f>30+23</f>
        <v/>
      </c>
      <c r="E9" t="n">
        <v>15</v>
      </c>
      <c r="G9" t="n">
        <v>28</v>
      </c>
      <c r="H9">
        <f>30+3</f>
        <v/>
      </c>
      <c r="I9">
        <f>30+21</f>
        <v/>
      </c>
      <c r="J9" t="n">
        <v>4</v>
      </c>
      <c r="L9" t="n">
        <v>23</v>
      </c>
      <c r="M9">
        <f>30+5</f>
        <v/>
      </c>
      <c r="N9">
        <f>30+29</f>
        <v/>
      </c>
      <c r="O9" t="n">
        <v>11</v>
      </c>
      <c r="Q9" t="n">
        <v>21</v>
      </c>
      <c r="R9">
        <f>30+2</f>
        <v/>
      </c>
      <c r="S9">
        <f>30+25</f>
        <v/>
      </c>
      <c r="T9" t="n">
        <v>13</v>
      </c>
      <c r="V9" t="n">
        <v>27</v>
      </c>
      <c r="W9">
        <f>30+11</f>
        <v/>
      </c>
      <c r="X9">
        <f>30+18</f>
        <v/>
      </c>
      <c r="Y9" t="n">
        <v>2</v>
      </c>
      <c r="AA9" t="n">
        <v>17</v>
      </c>
      <c r="AB9">
        <f>30+14</f>
        <v/>
      </c>
      <c r="AC9">
        <f>30+26</f>
        <v/>
      </c>
      <c r="AD9" t="n">
        <v>12</v>
      </c>
      <c r="AF9" t="n">
        <v>22</v>
      </c>
      <c r="AG9">
        <f>30+7</f>
        <v/>
      </c>
      <c r="AH9">
        <f>30+22</f>
        <v/>
      </c>
      <c r="AI9" t="n">
        <v>7</v>
      </c>
      <c r="AK9" t="n">
        <v>29</v>
      </c>
      <c r="AL9">
        <f>30+1</f>
        <v/>
      </c>
      <c r="AM9">
        <f>30+17</f>
        <v/>
      </c>
      <c r="AN9" t="n">
        <v>9</v>
      </c>
      <c r="AP9" t="n">
        <v>25</v>
      </c>
      <c r="AQ9">
        <f>30+15</f>
        <v/>
      </c>
      <c r="AR9">
        <f>30+19</f>
        <v/>
      </c>
      <c r="AS9" t="n">
        <v>8</v>
      </c>
      <c r="AU9" t="n">
        <v>20</v>
      </c>
      <c r="AV9">
        <f>30+13</f>
        <v/>
      </c>
      <c r="AW9">
        <f>30+30</f>
        <v/>
      </c>
      <c r="AX9" t="n">
        <v>6</v>
      </c>
      <c r="AZ9" t="n">
        <v>16</v>
      </c>
      <c r="BA9">
        <f>30+10</f>
        <v/>
      </c>
      <c r="BB9">
        <f>30+27</f>
        <v/>
      </c>
      <c r="BC9" t="n">
        <v>14</v>
      </c>
      <c r="BE9" t="n">
        <v>30</v>
      </c>
      <c r="BF9">
        <f>30+8</f>
        <v/>
      </c>
      <c r="BG9">
        <f>30+16</f>
        <v/>
      </c>
      <c r="BH9" t="n">
        <v>10</v>
      </c>
      <c r="BJ9" t="n">
        <v>26</v>
      </c>
      <c r="BK9">
        <f>30+4</f>
        <v/>
      </c>
      <c r="BL9">
        <f>30+24</f>
        <v/>
      </c>
      <c r="BM9" t="n">
        <v>3</v>
      </c>
      <c r="BO9" t="n">
        <v>18</v>
      </c>
      <c r="BP9">
        <f>30+9</f>
        <v/>
      </c>
      <c r="BQ9">
        <f>30+28</f>
        <v/>
      </c>
      <c r="BR9" t="n">
        <v>5</v>
      </c>
      <c r="BT9" t="n">
        <v>19</v>
      </c>
      <c r="BU9">
        <f>30+6</f>
        <v/>
      </c>
      <c r="BV9">
        <f>30+20</f>
        <v/>
      </c>
      <c r="BW9" t="n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B9"/>
  <sheetViews>
    <sheetView zoomScaleNormal="100" workbookViewId="0">
      <selection activeCell="A1" sqref="A1"/>
    </sheetView>
  </sheetViews>
  <sheetFormatPr baseColWidth="8" defaultColWidth="9.1406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4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4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4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4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4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4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4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4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4" customWidth="1" min="46" max="46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  <col width="4" customWidth="1" min="51" max="51"/>
    <col width="8.28515625" bestFit="1" customWidth="1" min="52" max="52"/>
    <col width="6.140625" bestFit="1" customWidth="1" min="53" max="53"/>
    <col width="5.5703125" bestFit="1" customWidth="1" min="54" max="54"/>
    <col width="6.140625" bestFit="1" customWidth="1" min="55" max="55"/>
    <col width="4" customWidth="1" min="56" max="56"/>
    <col width="8.28515625" bestFit="1" customWidth="1" min="57" max="57"/>
    <col width="6.140625" bestFit="1" customWidth="1" min="58" max="58"/>
    <col width="5.5703125" bestFit="1" customWidth="1" min="59" max="59"/>
    <col width="6.140625" bestFit="1" customWidth="1" min="60" max="60"/>
    <col width="4" customWidth="1" min="61" max="61"/>
    <col width="8.28515625" bestFit="1" customWidth="1" min="62" max="62"/>
    <col width="6.140625" bestFit="1" customWidth="1" min="63" max="63"/>
    <col width="5.5703125" bestFit="1" customWidth="1" min="64" max="64"/>
    <col width="6.140625" bestFit="1" customWidth="1" min="65" max="65"/>
    <col width="4" customWidth="1" min="66" max="66"/>
    <col width="8.28515625" bestFit="1" customWidth="1" min="67" max="67"/>
    <col width="6.140625" bestFit="1" customWidth="1" min="68" max="68"/>
    <col width="5.5703125" bestFit="1" customWidth="1" min="69" max="69"/>
    <col width="6.140625" bestFit="1" customWidth="1" min="70" max="70"/>
    <col width="4" customWidth="1" min="71" max="71"/>
    <col width="8.28515625" bestFit="1" customWidth="1" min="72" max="72"/>
    <col width="6.140625" bestFit="1" customWidth="1" min="73" max="73"/>
    <col width="5.5703125" bestFit="1" customWidth="1" min="74" max="74"/>
    <col width="6.140625" bestFit="1" customWidth="1" min="75" max="75"/>
    <col width="4" customWidth="1" min="76" max="76"/>
    <col width="8.28515625" bestFit="1" customWidth="1" min="77" max="77"/>
    <col width="6.140625" bestFit="1" customWidth="1" min="78" max="78"/>
    <col width="5.5703125" bestFit="1" customWidth="1" min="79" max="79"/>
    <col width="6.140625" bestFit="1" customWidth="1" min="80" max="80"/>
    <col width="4.28515625" customWidth="1" min="81" max="81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  <c r="AZ1" t="inlineStr">
        <is>
          <t>Table 11</t>
        </is>
      </c>
      <c r="BE1" t="inlineStr">
        <is>
          <t>Table 12</t>
        </is>
      </c>
      <c r="BJ1" t="inlineStr">
        <is>
          <t>Table 13</t>
        </is>
      </c>
      <c r="BO1" t="inlineStr">
        <is>
          <t>Table 14</t>
        </is>
      </c>
      <c r="BT1" t="inlineStr">
        <is>
          <t>Table 15</t>
        </is>
      </c>
      <c r="BY1" t="inlineStr">
        <is>
          <t>Table 16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  <c r="AZ2" t="inlineStr">
        <is>
          <t>East</t>
        </is>
      </c>
      <c r="BA2" t="inlineStr">
        <is>
          <t>South</t>
        </is>
      </c>
      <c r="BB2" t="inlineStr">
        <is>
          <t>West</t>
        </is>
      </c>
      <c r="BC2" t="inlineStr">
        <is>
          <t>North</t>
        </is>
      </c>
      <c r="BE2" t="inlineStr">
        <is>
          <t>East</t>
        </is>
      </c>
      <c r="BF2" t="inlineStr">
        <is>
          <t>South</t>
        </is>
      </c>
      <c r="BG2" t="inlineStr">
        <is>
          <t>West</t>
        </is>
      </c>
      <c r="BH2" t="inlineStr">
        <is>
          <t>North</t>
        </is>
      </c>
      <c r="BJ2" t="inlineStr">
        <is>
          <t>East</t>
        </is>
      </c>
      <c r="BK2" t="inlineStr">
        <is>
          <t>South</t>
        </is>
      </c>
      <c r="BL2" t="inlineStr">
        <is>
          <t>West</t>
        </is>
      </c>
      <c r="BM2" t="inlineStr">
        <is>
          <t>North</t>
        </is>
      </c>
      <c r="BO2" t="inlineStr">
        <is>
          <t>East</t>
        </is>
      </c>
      <c r="BP2" t="inlineStr">
        <is>
          <t>South</t>
        </is>
      </c>
      <c r="BQ2" t="inlineStr">
        <is>
          <t>West</t>
        </is>
      </c>
      <c r="BR2" t="inlineStr">
        <is>
          <t>North</t>
        </is>
      </c>
      <c r="BT2" t="inlineStr">
        <is>
          <t>East</t>
        </is>
      </c>
      <c r="BU2" t="inlineStr">
        <is>
          <t>South</t>
        </is>
      </c>
      <c r="BV2" t="inlineStr">
        <is>
          <t>West</t>
        </is>
      </c>
      <c r="BW2" t="inlineStr">
        <is>
          <t>North</t>
        </is>
      </c>
      <c r="BY2" t="inlineStr">
        <is>
          <t>East</t>
        </is>
      </c>
      <c r="BZ2" t="inlineStr">
        <is>
          <t>South</t>
        </is>
      </c>
      <c r="CA2" t="inlineStr">
        <is>
          <t>West</t>
        </is>
      </c>
      <c r="CB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17</v>
      </c>
      <c r="D3">
        <f>32+1</f>
        <v/>
      </c>
      <c r="E3">
        <f>32+17</f>
        <v/>
      </c>
      <c r="G3" t="n">
        <v>16</v>
      </c>
      <c r="H3" t="n">
        <v>32</v>
      </c>
      <c r="I3">
        <f>32+16</f>
        <v/>
      </c>
      <c r="J3">
        <f>32+32</f>
        <v/>
      </c>
      <c r="L3" t="n">
        <v>8</v>
      </c>
      <c r="M3" t="n">
        <v>24</v>
      </c>
      <c r="N3">
        <f>32+8</f>
        <v/>
      </c>
      <c r="O3">
        <f>32+24</f>
        <v/>
      </c>
      <c r="Q3" t="n">
        <v>9</v>
      </c>
      <c r="R3" t="n">
        <v>25</v>
      </c>
      <c r="S3">
        <f>32+9</f>
        <v/>
      </c>
      <c r="T3">
        <f>32+25</f>
        <v/>
      </c>
      <c r="V3" t="n">
        <v>15</v>
      </c>
      <c r="W3" t="n">
        <v>31</v>
      </c>
      <c r="X3">
        <f>32+15</f>
        <v/>
      </c>
      <c r="Y3">
        <f>32+31</f>
        <v/>
      </c>
      <c r="AA3" t="n">
        <v>2</v>
      </c>
      <c r="AB3" t="n">
        <v>18</v>
      </c>
      <c r="AC3">
        <f>32+2</f>
        <v/>
      </c>
      <c r="AD3">
        <f>32+18</f>
        <v/>
      </c>
      <c r="AF3" t="n">
        <v>10</v>
      </c>
      <c r="AG3" t="n">
        <v>26</v>
      </c>
      <c r="AH3">
        <f>32+10</f>
        <v/>
      </c>
      <c r="AI3">
        <f>32+26</f>
        <v/>
      </c>
      <c r="AK3" t="n">
        <v>7</v>
      </c>
      <c r="AL3" t="n">
        <v>23</v>
      </c>
      <c r="AM3">
        <f>32+7</f>
        <v/>
      </c>
      <c r="AN3">
        <f>32+23</f>
        <v/>
      </c>
      <c r="AP3" t="n">
        <v>6</v>
      </c>
      <c r="AQ3" t="n">
        <v>22</v>
      </c>
      <c r="AR3">
        <f>32+6</f>
        <v/>
      </c>
      <c r="AS3">
        <f>32+22</f>
        <v/>
      </c>
      <c r="AU3" t="n">
        <v>11</v>
      </c>
      <c r="AV3" t="n">
        <v>27</v>
      </c>
      <c r="AW3">
        <f>32+11</f>
        <v/>
      </c>
      <c r="AX3">
        <f>32+27</f>
        <v/>
      </c>
      <c r="AZ3" t="n">
        <v>3</v>
      </c>
      <c r="BA3" t="n">
        <v>19</v>
      </c>
      <c r="BB3">
        <f>32+3</f>
        <v/>
      </c>
      <c r="BC3">
        <f>32+19</f>
        <v/>
      </c>
      <c r="BE3" t="n">
        <v>14</v>
      </c>
      <c r="BF3" t="n">
        <v>30</v>
      </c>
      <c r="BG3">
        <f>32+14</f>
        <v/>
      </c>
      <c r="BH3">
        <f>32+30</f>
        <v/>
      </c>
      <c r="BJ3" t="n">
        <v>12</v>
      </c>
      <c r="BK3" t="n">
        <v>28</v>
      </c>
      <c r="BL3">
        <f>32+12</f>
        <v/>
      </c>
      <c r="BM3">
        <f>32+28</f>
        <v/>
      </c>
      <c r="BO3" t="n">
        <v>5</v>
      </c>
      <c r="BP3" t="n">
        <v>21</v>
      </c>
      <c r="BQ3">
        <f>32+5</f>
        <v/>
      </c>
      <c r="BR3">
        <f>32+21</f>
        <v/>
      </c>
      <c r="BT3" t="n">
        <v>13</v>
      </c>
      <c r="BU3" t="n">
        <v>29</v>
      </c>
      <c r="BV3">
        <f>32+13</f>
        <v/>
      </c>
      <c r="BW3">
        <f>32+29</f>
        <v/>
      </c>
      <c r="BY3" t="n">
        <v>4</v>
      </c>
      <c r="BZ3" t="n">
        <v>20</v>
      </c>
      <c r="CA3">
        <f>32+4</f>
        <v/>
      </c>
      <c r="CB3">
        <f>32+20</f>
        <v/>
      </c>
    </row>
    <row r="4">
      <c r="A4" t="inlineStr">
        <is>
          <t>R2</t>
        </is>
      </c>
      <c r="B4">
        <f>32+14</f>
        <v/>
      </c>
      <c r="C4">
        <f>32+29</f>
        <v/>
      </c>
      <c r="D4" t="n">
        <v>16</v>
      </c>
      <c r="E4" t="n">
        <v>31</v>
      </c>
      <c r="G4">
        <f>32+3</f>
        <v/>
      </c>
      <c r="H4">
        <f>32+20</f>
        <v/>
      </c>
      <c r="I4" t="n">
        <v>1</v>
      </c>
      <c r="J4" t="n">
        <v>18</v>
      </c>
      <c r="L4">
        <f>32+11</f>
        <v/>
      </c>
      <c r="M4">
        <f>32+28</f>
        <v/>
      </c>
      <c r="N4" t="n">
        <v>9</v>
      </c>
      <c r="O4" t="n">
        <v>26</v>
      </c>
      <c r="Q4">
        <f>32+6</f>
        <v/>
      </c>
      <c r="R4">
        <f>32+21</f>
        <v/>
      </c>
      <c r="S4" t="n">
        <v>8</v>
      </c>
      <c r="T4" t="n">
        <v>23</v>
      </c>
      <c r="V4">
        <f>32+4</f>
        <v/>
      </c>
      <c r="W4">
        <f>32+19</f>
        <v/>
      </c>
      <c r="X4" t="n">
        <v>2</v>
      </c>
      <c r="Y4" t="n">
        <v>17</v>
      </c>
      <c r="AA4">
        <f>32+13</f>
        <v/>
      </c>
      <c r="AB4">
        <f>32+30</f>
        <v/>
      </c>
      <c r="AC4" t="n">
        <v>15</v>
      </c>
      <c r="AD4" t="n">
        <v>32</v>
      </c>
      <c r="AF4">
        <f>32+5</f>
        <v/>
      </c>
      <c r="AG4">
        <f>32+22</f>
        <v/>
      </c>
      <c r="AH4" t="n">
        <v>7</v>
      </c>
      <c r="AI4" t="n">
        <v>24</v>
      </c>
      <c r="AK4">
        <f>32+12</f>
        <v/>
      </c>
      <c r="AL4">
        <f>32+27</f>
        <v/>
      </c>
      <c r="AM4" t="n">
        <v>10</v>
      </c>
      <c r="AN4" t="n">
        <v>25</v>
      </c>
      <c r="AP4">
        <f>32+9</f>
        <v/>
      </c>
      <c r="AQ4">
        <f>32+26</f>
        <v/>
      </c>
      <c r="AR4" t="n">
        <v>11</v>
      </c>
      <c r="AS4" t="n">
        <v>28</v>
      </c>
      <c r="AU4">
        <f>32+8</f>
        <v/>
      </c>
      <c r="AV4">
        <f>32+23</f>
        <v/>
      </c>
      <c r="AW4" t="n">
        <v>6</v>
      </c>
      <c r="AX4" t="n">
        <v>21</v>
      </c>
      <c r="AZ4">
        <f>32+16</f>
        <v/>
      </c>
      <c r="BA4">
        <f>32+31</f>
        <v/>
      </c>
      <c r="BB4" t="n">
        <v>14</v>
      </c>
      <c r="BC4" t="n">
        <v>29</v>
      </c>
      <c r="BE4">
        <f>32+1</f>
        <v/>
      </c>
      <c r="BF4">
        <f>32+18</f>
        <v/>
      </c>
      <c r="BG4" t="n">
        <v>3</v>
      </c>
      <c r="BH4" t="n">
        <v>20</v>
      </c>
      <c r="BJ4">
        <f>32+7</f>
        <v/>
      </c>
      <c r="BK4">
        <f>32+24</f>
        <v/>
      </c>
      <c r="BL4" t="n">
        <v>5</v>
      </c>
      <c r="BM4" t="n">
        <v>22</v>
      </c>
      <c r="BO4">
        <f>32+10</f>
        <v/>
      </c>
      <c r="BP4">
        <f>32+25</f>
        <v/>
      </c>
      <c r="BQ4" t="n">
        <v>12</v>
      </c>
      <c r="BR4" t="n">
        <v>27</v>
      </c>
      <c r="BT4">
        <f>32+2</f>
        <v/>
      </c>
      <c r="BU4">
        <f>32+17</f>
        <v/>
      </c>
      <c r="BV4" t="n">
        <v>4</v>
      </c>
      <c r="BW4" t="n">
        <v>19</v>
      </c>
      <c r="BY4">
        <f>32+15</f>
        <v/>
      </c>
      <c r="BZ4">
        <f>32+32</f>
        <v/>
      </c>
      <c r="CA4" t="n">
        <v>13</v>
      </c>
      <c r="CB4" t="n">
        <v>30</v>
      </c>
    </row>
    <row r="5">
      <c r="A5" t="inlineStr">
        <is>
          <t>R3</t>
        </is>
      </c>
      <c r="B5" t="n">
        <v>22</v>
      </c>
      <c r="C5">
        <f>32+4</f>
        <v/>
      </c>
      <c r="D5">
        <f>32+18</f>
        <v/>
      </c>
      <c r="E5" t="n">
        <v>8</v>
      </c>
      <c r="G5" t="n">
        <v>27</v>
      </c>
      <c r="H5">
        <f>32+13</f>
        <v/>
      </c>
      <c r="I5">
        <f>32+31</f>
        <v/>
      </c>
      <c r="J5" t="n">
        <v>9</v>
      </c>
      <c r="L5" t="n">
        <v>19</v>
      </c>
      <c r="M5">
        <f>32+5</f>
        <v/>
      </c>
      <c r="N5">
        <f>32+23</f>
        <v/>
      </c>
      <c r="O5" t="n">
        <v>1</v>
      </c>
      <c r="Q5" t="n">
        <v>30</v>
      </c>
      <c r="R5">
        <f>32+12</f>
        <v/>
      </c>
      <c r="S5">
        <f>32+26</f>
        <v/>
      </c>
      <c r="T5" t="n">
        <v>16</v>
      </c>
      <c r="V5" t="n">
        <v>28</v>
      </c>
      <c r="W5">
        <f>32+14</f>
        <v/>
      </c>
      <c r="X5">
        <f>32+32</f>
        <v/>
      </c>
      <c r="Y5" t="n">
        <v>10</v>
      </c>
      <c r="AA5" t="n">
        <v>21</v>
      </c>
      <c r="AB5">
        <f>32+3</f>
        <v/>
      </c>
      <c r="AC5">
        <f>32+17</f>
        <v/>
      </c>
      <c r="AD5" t="n">
        <v>7</v>
      </c>
      <c r="AF5" t="n">
        <v>29</v>
      </c>
      <c r="AG5">
        <f>32+11</f>
        <v/>
      </c>
      <c r="AH5">
        <f>32+25</f>
        <v/>
      </c>
      <c r="AI5" t="n">
        <v>15</v>
      </c>
      <c r="AK5" t="n">
        <v>20</v>
      </c>
      <c r="AL5">
        <f>32+6</f>
        <v/>
      </c>
      <c r="AM5">
        <f>32+24</f>
        <v/>
      </c>
      <c r="AN5" t="n">
        <v>2</v>
      </c>
      <c r="AP5" t="n">
        <v>17</v>
      </c>
      <c r="AQ5">
        <f>32+7</f>
        <v/>
      </c>
      <c r="AR5">
        <f>32+21</f>
        <v/>
      </c>
      <c r="AS5" t="n">
        <v>3</v>
      </c>
      <c r="AU5" t="n">
        <v>32</v>
      </c>
      <c r="AV5">
        <f>32+10</f>
        <v/>
      </c>
      <c r="AW5">
        <f>32+28</f>
        <v/>
      </c>
      <c r="AX5" t="n">
        <v>14</v>
      </c>
      <c r="AZ5" t="n">
        <v>24</v>
      </c>
      <c r="BA5">
        <f>32+2</f>
        <v/>
      </c>
      <c r="BB5">
        <f>32+20</f>
        <v/>
      </c>
      <c r="BC5" t="n">
        <v>6</v>
      </c>
      <c r="BE5" t="n">
        <v>25</v>
      </c>
      <c r="BF5">
        <f>32+15</f>
        <v/>
      </c>
      <c r="BG5">
        <f>32+29</f>
        <v/>
      </c>
      <c r="BH5" t="n">
        <v>11</v>
      </c>
      <c r="BJ5" t="n">
        <v>31</v>
      </c>
      <c r="BK5">
        <f>32+9</f>
        <v/>
      </c>
      <c r="BL5">
        <f>32+27</f>
        <v/>
      </c>
      <c r="BM5" t="n">
        <v>13</v>
      </c>
      <c r="BO5" t="n">
        <v>18</v>
      </c>
      <c r="BP5">
        <f>32+8</f>
        <v/>
      </c>
      <c r="BQ5">
        <f>32+22</f>
        <v/>
      </c>
      <c r="BR5" t="n">
        <v>4</v>
      </c>
      <c r="BT5" t="n">
        <v>26</v>
      </c>
      <c r="BU5">
        <f>32+16</f>
        <v/>
      </c>
      <c r="BV5">
        <f>32+30</f>
        <v/>
      </c>
      <c r="BW5" t="n">
        <v>12</v>
      </c>
      <c r="BY5" t="n">
        <v>23</v>
      </c>
      <c r="BZ5">
        <f>32+1</f>
        <v/>
      </c>
      <c r="CA5">
        <f>32+19</f>
        <v/>
      </c>
      <c r="CB5" t="n">
        <v>5</v>
      </c>
    </row>
    <row r="6">
      <c r="A6" t="inlineStr">
        <is>
          <t>R4</t>
        </is>
      </c>
      <c r="B6">
        <f>32+30</f>
        <v/>
      </c>
      <c r="C6" t="n">
        <v>9</v>
      </c>
      <c r="D6" t="n">
        <v>28</v>
      </c>
      <c r="E6">
        <f>32+15</f>
        <v/>
      </c>
      <c r="G6">
        <f>32+19</f>
        <v/>
      </c>
      <c r="H6" t="n">
        <v>8</v>
      </c>
      <c r="I6" t="n">
        <v>21</v>
      </c>
      <c r="J6">
        <f>32+2</f>
        <v/>
      </c>
      <c r="L6">
        <f>32+27</f>
        <v/>
      </c>
      <c r="M6" t="n">
        <v>16</v>
      </c>
      <c r="N6" t="n">
        <v>29</v>
      </c>
      <c r="O6">
        <f>32+10</f>
        <v/>
      </c>
      <c r="Q6">
        <f>32+22</f>
        <v/>
      </c>
      <c r="R6" t="n">
        <v>1</v>
      </c>
      <c r="S6" t="n">
        <v>20</v>
      </c>
      <c r="T6">
        <f>32+7</f>
        <v/>
      </c>
      <c r="V6">
        <f>32+20</f>
        <v/>
      </c>
      <c r="W6" t="n">
        <v>7</v>
      </c>
      <c r="X6" t="n">
        <v>22</v>
      </c>
      <c r="Y6">
        <f>32+1</f>
        <v/>
      </c>
      <c r="AA6">
        <f>32+29</f>
        <v/>
      </c>
      <c r="AB6" t="n">
        <v>10</v>
      </c>
      <c r="AC6" t="n">
        <v>27</v>
      </c>
      <c r="AD6">
        <f>32+16</f>
        <v/>
      </c>
      <c r="AF6">
        <f>32+21</f>
        <v/>
      </c>
      <c r="AG6" t="n">
        <v>2</v>
      </c>
      <c r="AH6" t="n">
        <v>19</v>
      </c>
      <c r="AI6">
        <f>32+8</f>
        <v/>
      </c>
      <c r="AK6">
        <f>32+28</f>
        <v/>
      </c>
      <c r="AL6" t="n">
        <v>15</v>
      </c>
      <c r="AM6" t="n">
        <v>30</v>
      </c>
      <c r="AN6">
        <f>32+9</f>
        <v/>
      </c>
      <c r="AP6">
        <f>32+25</f>
        <v/>
      </c>
      <c r="AQ6" t="n">
        <v>14</v>
      </c>
      <c r="AR6" t="n">
        <v>31</v>
      </c>
      <c r="AS6">
        <f>32+12</f>
        <v/>
      </c>
      <c r="AU6">
        <f>32+24</f>
        <v/>
      </c>
      <c r="AV6" t="n">
        <v>3</v>
      </c>
      <c r="AW6" t="n">
        <v>18</v>
      </c>
      <c r="AX6">
        <f>32+5</f>
        <v/>
      </c>
      <c r="AZ6">
        <f>32+32</f>
        <v/>
      </c>
      <c r="BA6" t="n">
        <v>11</v>
      </c>
      <c r="BB6" t="n">
        <v>26</v>
      </c>
      <c r="BC6">
        <f>32+13</f>
        <v/>
      </c>
      <c r="BE6">
        <f>32+17</f>
        <v/>
      </c>
      <c r="BF6" t="n">
        <v>6</v>
      </c>
      <c r="BG6" t="n">
        <v>23</v>
      </c>
      <c r="BH6">
        <f>32+4</f>
        <v/>
      </c>
      <c r="BJ6">
        <f>32+23</f>
        <v/>
      </c>
      <c r="BK6" t="n">
        <v>4</v>
      </c>
      <c r="BL6" t="n">
        <v>17</v>
      </c>
      <c r="BM6">
        <f>32+6</f>
        <v/>
      </c>
      <c r="BO6">
        <f>32+26</f>
        <v/>
      </c>
      <c r="BP6" t="n">
        <v>13</v>
      </c>
      <c r="BQ6" t="n">
        <v>32</v>
      </c>
      <c r="BR6">
        <f>32+11</f>
        <v/>
      </c>
      <c r="BT6">
        <f>32+18</f>
        <v/>
      </c>
      <c r="BU6" t="n">
        <v>5</v>
      </c>
      <c r="BV6" t="n">
        <v>24</v>
      </c>
      <c r="BW6">
        <f>32+3</f>
        <v/>
      </c>
      <c r="BY6">
        <f>32+31</f>
        <v/>
      </c>
      <c r="BZ6" t="n">
        <v>12</v>
      </c>
      <c r="CA6" t="n">
        <v>25</v>
      </c>
      <c r="CB6">
        <f>32+14</f>
        <v/>
      </c>
    </row>
    <row r="7">
      <c r="A7" t="inlineStr">
        <is>
          <t>R5</t>
        </is>
      </c>
      <c r="B7" t="n">
        <v>15</v>
      </c>
      <c r="C7" t="n">
        <v>27</v>
      </c>
      <c r="D7">
        <f>32+7</f>
        <v/>
      </c>
      <c r="E7">
        <f>32+19</f>
        <v/>
      </c>
      <c r="G7" t="n">
        <v>2</v>
      </c>
      <c r="H7" t="n">
        <v>22</v>
      </c>
      <c r="I7">
        <f>32+10</f>
        <v/>
      </c>
      <c r="J7">
        <f>32+30</f>
        <v/>
      </c>
      <c r="L7" t="n">
        <v>10</v>
      </c>
      <c r="M7" t="n">
        <v>30</v>
      </c>
      <c r="N7">
        <f>32+2</f>
        <v/>
      </c>
      <c r="O7">
        <f>32+22</f>
        <v/>
      </c>
      <c r="Q7" t="n">
        <v>7</v>
      </c>
      <c r="R7" t="n">
        <v>19</v>
      </c>
      <c r="S7">
        <f>32+15</f>
        <v/>
      </c>
      <c r="T7">
        <f>32+27</f>
        <v/>
      </c>
      <c r="V7" t="n">
        <v>1</v>
      </c>
      <c r="W7" t="n">
        <v>21</v>
      </c>
      <c r="X7">
        <f>32+9</f>
        <v/>
      </c>
      <c r="Y7">
        <f>32+29</f>
        <v/>
      </c>
      <c r="AA7" t="n">
        <v>16</v>
      </c>
      <c r="AB7" t="n">
        <v>28</v>
      </c>
      <c r="AC7">
        <f>32+8</f>
        <v/>
      </c>
      <c r="AD7">
        <f>32+20</f>
        <v/>
      </c>
      <c r="AF7" t="n">
        <v>8</v>
      </c>
      <c r="AG7" t="n">
        <v>20</v>
      </c>
      <c r="AH7">
        <f>32+16</f>
        <v/>
      </c>
      <c r="AI7">
        <f>32+28</f>
        <v/>
      </c>
      <c r="AK7" t="n">
        <v>9</v>
      </c>
      <c r="AL7" t="n">
        <v>29</v>
      </c>
      <c r="AM7">
        <f>32+1</f>
        <v/>
      </c>
      <c r="AN7">
        <f>32+21</f>
        <v/>
      </c>
      <c r="AP7" t="n">
        <v>12</v>
      </c>
      <c r="AQ7" t="n">
        <v>32</v>
      </c>
      <c r="AR7">
        <f>32+4</f>
        <v/>
      </c>
      <c r="AS7">
        <f>32+24</f>
        <v/>
      </c>
      <c r="AU7" t="n">
        <v>5</v>
      </c>
      <c r="AV7" t="n">
        <v>17</v>
      </c>
      <c r="AW7">
        <f>32+13</f>
        <v/>
      </c>
      <c r="AX7">
        <f>32+25</f>
        <v/>
      </c>
      <c r="AZ7" t="n">
        <v>13</v>
      </c>
      <c r="BA7" t="n">
        <v>25</v>
      </c>
      <c r="BB7">
        <f>32+5</f>
        <v/>
      </c>
      <c r="BC7">
        <f>32+17</f>
        <v/>
      </c>
      <c r="BE7" t="n">
        <v>4</v>
      </c>
      <c r="BF7" t="n">
        <v>24</v>
      </c>
      <c r="BG7">
        <f>32+12</f>
        <v/>
      </c>
      <c r="BH7">
        <f>32+32</f>
        <v/>
      </c>
      <c r="BJ7" t="n">
        <v>6</v>
      </c>
      <c r="BK7" t="n">
        <v>18</v>
      </c>
      <c r="BL7">
        <f>32+14</f>
        <v/>
      </c>
      <c r="BM7">
        <f>32+26</f>
        <v/>
      </c>
      <c r="BO7" t="n">
        <v>11</v>
      </c>
      <c r="BP7" t="n">
        <v>31</v>
      </c>
      <c r="BQ7">
        <f>32+3</f>
        <v/>
      </c>
      <c r="BR7">
        <f>32+23</f>
        <v/>
      </c>
      <c r="BT7" t="n">
        <v>3</v>
      </c>
      <c r="BU7" t="n">
        <v>23</v>
      </c>
      <c r="BV7">
        <f>32+11</f>
        <v/>
      </c>
      <c r="BW7">
        <f>32+31</f>
        <v/>
      </c>
      <c r="BY7" t="n">
        <v>14</v>
      </c>
      <c r="BZ7" t="n">
        <v>26</v>
      </c>
      <c r="CA7">
        <f>32+6</f>
        <v/>
      </c>
      <c r="CB7">
        <f>32+18</f>
        <v/>
      </c>
    </row>
    <row r="8">
      <c r="A8" t="inlineStr">
        <is>
          <t>R6</t>
        </is>
      </c>
      <c r="B8">
        <f>32+12</f>
        <v/>
      </c>
      <c r="C8">
        <f>32+31</f>
        <v/>
      </c>
      <c r="D8" t="n">
        <v>2</v>
      </c>
      <c r="E8" t="n">
        <v>21</v>
      </c>
      <c r="G8">
        <f>32+5</f>
        <v/>
      </c>
      <c r="H8">
        <f>32+18</f>
        <v/>
      </c>
      <c r="I8" t="n">
        <v>15</v>
      </c>
      <c r="J8" t="n">
        <v>28</v>
      </c>
      <c r="L8">
        <f>32+13</f>
        <v/>
      </c>
      <c r="M8">
        <f>32+26</f>
        <v/>
      </c>
      <c r="N8" t="n">
        <v>7</v>
      </c>
      <c r="O8" t="n">
        <v>20</v>
      </c>
      <c r="Q8">
        <f>32+4</f>
        <v/>
      </c>
      <c r="R8">
        <f>32+23</f>
        <v/>
      </c>
      <c r="S8" t="n">
        <v>10</v>
      </c>
      <c r="T8" t="n">
        <v>29</v>
      </c>
      <c r="V8">
        <f>32+6</f>
        <v/>
      </c>
      <c r="W8">
        <f>32+17</f>
        <v/>
      </c>
      <c r="X8" t="n">
        <v>16</v>
      </c>
      <c r="Y8" t="n">
        <v>27</v>
      </c>
      <c r="AA8">
        <f>32+11</f>
        <v/>
      </c>
      <c r="AB8">
        <f>32+32</f>
        <v/>
      </c>
      <c r="AC8" t="n">
        <v>1</v>
      </c>
      <c r="AD8" t="n">
        <v>22</v>
      </c>
      <c r="AF8">
        <f>32+3</f>
        <v/>
      </c>
      <c r="AG8">
        <f>32+24</f>
        <v/>
      </c>
      <c r="AH8" t="n">
        <v>9</v>
      </c>
      <c r="AI8" t="n">
        <v>30</v>
      </c>
      <c r="AK8">
        <f>32+14</f>
        <v/>
      </c>
      <c r="AL8">
        <f>32+25</f>
        <v/>
      </c>
      <c r="AM8" t="n">
        <v>8</v>
      </c>
      <c r="AN8" t="n">
        <v>19</v>
      </c>
      <c r="AP8">
        <f>32+15</f>
        <v/>
      </c>
      <c r="AQ8">
        <f>32+28</f>
        <v/>
      </c>
      <c r="AR8" t="n">
        <v>5</v>
      </c>
      <c r="AS8" t="n">
        <v>18</v>
      </c>
      <c r="AU8">
        <f>32+2</f>
        <v/>
      </c>
      <c r="AV8">
        <f>32+21</f>
        <v/>
      </c>
      <c r="AW8" t="n">
        <v>12</v>
      </c>
      <c r="AX8" t="n">
        <v>31</v>
      </c>
      <c r="AZ8">
        <f>32+10</f>
        <v/>
      </c>
      <c r="BA8">
        <f>32+29</f>
        <v/>
      </c>
      <c r="BB8" t="n">
        <v>4</v>
      </c>
      <c r="BC8" t="n">
        <v>23</v>
      </c>
      <c r="BE8">
        <f>32+7</f>
        <v/>
      </c>
      <c r="BF8">
        <f>32+20</f>
        <v/>
      </c>
      <c r="BG8" t="n">
        <v>13</v>
      </c>
      <c r="BH8" t="n">
        <v>26</v>
      </c>
      <c r="BJ8">
        <f>32+1</f>
        <v/>
      </c>
      <c r="BK8">
        <f>32+22</f>
        <v/>
      </c>
      <c r="BL8" t="n">
        <v>11</v>
      </c>
      <c r="BM8" t="n">
        <v>32</v>
      </c>
      <c r="BO8">
        <f>32+16</f>
        <v/>
      </c>
      <c r="BP8">
        <f>32+27</f>
        <v/>
      </c>
      <c r="BQ8" t="n">
        <v>6</v>
      </c>
      <c r="BR8" t="n">
        <v>17</v>
      </c>
      <c r="BT8">
        <f>32+8</f>
        <v/>
      </c>
      <c r="BU8">
        <f>32+19</f>
        <v/>
      </c>
      <c r="BV8" t="n">
        <v>14</v>
      </c>
      <c r="BW8" t="n">
        <v>25</v>
      </c>
      <c r="BY8">
        <f>32+9</f>
        <v/>
      </c>
      <c r="BZ8">
        <f>32+30</f>
        <v/>
      </c>
      <c r="CA8" t="n">
        <v>3</v>
      </c>
      <c r="CB8" t="n">
        <v>24</v>
      </c>
    </row>
    <row r="9">
      <c r="A9" t="inlineStr">
        <is>
          <t>R7</t>
        </is>
      </c>
      <c r="B9" t="n">
        <v>32</v>
      </c>
      <c r="C9">
        <f>32+6</f>
        <v/>
      </c>
      <c r="D9">
        <f>32+20</f>
        <v/>
      </c>
      <c r="E9" t="n">
        <v>10</v>
      </c>
      <c r="G9" t="n">
        <v>17</v>
      </c>
      <c r="H9">
        <f>32+11</f>
        <v/>
      </c>
      <c r="I9">
        <f>32+29</f>
        <v/>
      </c>
      <c r="J9" t="n">
        <v>7</v>
      </c>
      <c r="L9" t="n">
        <v>25</v>
      </c>
      <c r="M9">
        <f>32+3</f>
        <v/>
      </c>
      <c r="N9">
        <f>32+21</f>
        <v/>
      </c>
      <c r="O9" t="n">
        <v>15</v>
      </c>
      <c r="Q9" t="n">
        <v>24</v>
      </c>
      <c r="R9">
        <f>32+14</f>
        <v/>
      </c>
      <c r="S9">
        <f>32+28</f>
        <v/>
      </c>
      <c r="T9" t="n">
        <v>2</v>
      </c>
      <c r="V9" t="n">
        <v>18</v>
      </c>
      <c r="W9">
        <f>32+12</f>
        <v/>
      </c>
      <c r="X9">
        <f>32+30</f>
        <v/>
      </c>
      <c r="Y9" t="n">
        <v>8</v>
      </c>
      <c r="AA9" t="n">
        <v>31</v>
      </c>
      <c r="AB9">
        <f>32+5</f>
        <v/>
      </c>
      <c r="AC9">
        <f>32+19</f>
        <v/>
      </c>
      <c r="AD9" t="n">
        <v>9</v>
      </c>
      <c r="AF9" t="n">
        <v>23</v>
      </c>
      <c r="AG9">
        <f>32+13</f>
        <v/>
      </c>
      <c r="AH9">
        <f>32+27</f>
        <v/>
      </c>
      <c r="AI9" t="n">
        <v>1</v>
      </c>
      <c r="AK9" t="n">
        <v>26</v>
      </c>
      <c r="AL9">
        <f>32+4</f>
        <v/>
      </c>
      <c r="AM9">
        <f>32+22</f>
        <v/>
      </c>
      <c r="AN9" t="n">
        <v>16</v>
      </c>
      <c r="AP9" t="n">
        <v>27</v>
      </c>
      <c r="AQ9">
        <f>32+1</f>
        <v/>
      </c>
      <c r="AR9">
        <f>32+23</f>
        <v/>
      </c>
      <c r="AS9" t="n">
        <v>13</v>
      </c>
      <c r="AU9" t="n">
        <v>22</v>
      </c>
      <c r="AV9">
        <f>32+16</f>
        <v/>
      </c>
      <c r="AW9">
        <f>32+26</f>
        <v/>
      </c>
      <c r="AX9" t="n">
        <v>4</v>
      </c>
      <c r="AZ9" t="n">
        <v>30</v>
      </c>
      <c r="BA9">
        <f>32+8</f>
        <v/>
      </c>
      <c r="BB9">
        <f>32+18</f>
        <v/>
      </c>
      <c r="BC9" t="n">
        <v>12</v>
      </c>
      <c r="BE9" t="n">
        <v>19</v>
      </c>
      <c r="BF9">
        <f>32+9</f>
        <v/>
      </c>
      <c r="BG9">
        <f>32+31</f>
        <v/>
      </c>
      <c r="BH9" t="n">
        <v>5</v>
      </c>
      <c r="BJ9" t="n">
        <v>21</v>
      </c>
      <c r="BK9">
        <f>32+15</f>
        <v/>
      </c>
      <c r="BL9">
        <f>32+25</f>
        <v/>
      </c>
      <c r="BM9" t="n">
        <v>3</v>
      </c>
      <c r="BO9" t="n">
        <v>28</v>
      </c>
      <c r="BP9">
        <f>32+2</f>
        <v/>
      </c>
      <c r="BQ9">
        <f>32+24</f>
        <v/>
      </c>
      <c r="BR9" t="n">
        <v>14</v>
      </c>
      <c r="BT9" t="n">
        <v>20</v>
      </c>
      <c r="BU9">
        <f>32+10</f>
        <v/>
      </c>
      <c r="BV9">
        <f>32+32</f>
        <v/>
      </c>
      <c r="BW9" t="n">
        <v>6</v>
      </c>
      <c r="BY9" t="n">
        <v>29</v>
      </c>
      <c r="BZ9">
        <f>32+7</f>
        <v/>
      </c>
      <c r="CA9">
        <f>32+17</f>
        <v/>
      </c>
      <c r="CB9" t="n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G9"/>
  <sheetViews>
    <sheetView zoomScaleNormal="100" workbookViewId="0">
      <selection activeCell="A1" sqref="A1"/>
    </sheetView>
  </sheetViews>
  <sheetFormatPr baseColWidth="8" defaultColWidth="9.1406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4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4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4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4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4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4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4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4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4" customWidth="1" min="46" max="46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  <col width="4" customWidth="1" min="51" max="51"/>
    <col width="8.28515625" bestFit="1" customWidth="1" min="52" max="52"/>
    <col width="6.140625" bestFit="1" customWidth="1" min="53" max="53"/>
    <col width="5.5703125" bestFit="1" customWidth="1" min="54" max="54"/>
    <col width="6.140625" bestFit="1" customWidth="1" min="55" max="55"/>
    <col width="4" customWidth="1" min="56" max="56"/>
    <col width="8.28515625" bestFit="1" customWidth="1" min="57" max="57"/>
    <col width="6.140625" bestFit="1" customWidth="1" min="58" max="58"/>
    <col width="5.5703125" bestFit="1" customWidth="1" min="59" max="59"/>
    <col width="6.140625" bestFit="1" customWidth="1" min="60" max="60"/>
    <col width="4" customWidth="1" min="61" max="61"/>
    <col width="8.28515625" bestFit="1" customWidth="1" min="62" max="62"/>
    <col width="6.140625" bestFit="1" customWidth="1" min="63" max="63"/>
    <col width="5.5703125" bestFit="1" customWidth="1" min="64" max="64"/>
    <col width="6.140625" bestFit="1" customWidth="1" min="65" max="65"/>
    <col width="4" customWidth="1" min="66" max="66"/>
    <col width="8.28515625" bestFit="1" customWidth="1" min="67" max="67"/>
    <col width="6.140625" bestFit="1" customWidth="1" min="68" max="68"/>
    <col width="5.5703125" bestFit="1" customWidth="1" min="69" max="69"/>
    <col width="6.140625" bestFit="1" customWidth="1" min="70" max="70"/>
    <col width="4" customWidth="1" min="71" max="71"/>
    <col width="8.28515625" bestFit="1" customWidth="1" min="72" max="72"/>
    <col width="6.140625" bestFit="1" customWidth="1" min="73" max="73"/>
    <col width="5.5703125" bestFit="1" customWidth="1" min="74" max="74"/>
    <col width="6.140625" bestFit="1" customWidth="1" min="75" max="75"/>
    <col width="4" customWidth="1" min="76" max="76"/>
    <col width="8.28515625" bestFit="1" customWidth="1" min="77" max="77"/>
    <col width="6.140625" bestFit="1" customWidth="1" min="78" max="78"/>
    <col width="5.5703125" bestFit="1" customWidth="1" min="79" max="79"/>
    <col width="6.140625" bestFit="1" customWidth="1" min="80" max="80"/>
    <col width="4" customWidth="1" min="81" max="81"/>
    <col width="8.28515625" bestFit="1" customWidth="1" min="82" max="82"/>
    <col width="6.140625" bestFit="1" customWidth="1" min="83" max="83"/>
    <col width="5.5703125" bestFit="1" customWidth="1" min="84" max="84"/>
    <col width="6.140625" bestFit="1" customWidth="1" min="85" max="85"/>
    <col width="6" bestFit="1" customWidth="1" min="87" max="87"/>
    <col width="7.7109375" bestFit="1" customWidth="1" min="88" max="88"/>
    <col width="6.5703125" bestFit="1" customWidth="1" min="89" max="89"/>
    <col width="7.140625" bestFit="1" customWidth="1" min="90" max="90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  <c r="AZ1" t="inlineStr">
        <is>
          <t>Table 11</t>
        </is>
      </c>
      <c r="BE1" t="inlineStr">
        <is>
          <t>Table 12</t>
        </is>
      </c>
      <c r="BJ1" t="inlineStr">
        <is>
          <t>Table 13</t>
        </is>
      </c>
      <c r="BO1" t="inlineStr">
        <is>
          <t>Table 14</t>
        </is>
      </c>
      <c r="BT1" t="inlineStr">
        <is>
          <t>Table 15</t>
        </is>
      </c>
      <c r="BY1" t="inlineStr">
        <is>
          <t>Table 16</t>
        </is>
      </c>
      <c r="CD1" t="inlineStr">
        <is>
          <t>Table 17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  <c r="AZ2" t="inlineStr">
        <is>
          <t>East</t>
        </is>
      </c>
      <c r="BA2" t="inlineStr">
        <is>
          <t>South</t>
        </is>
      </c>
      <c r="BB2" t="inlineStr">
        <is>
          <t>West</t>
        </is>
      </c>
      <c r="BC2" t="inlineStr">
        <is>
          <t>North</t>
        </is>
      </c>
      <c r="BE2" t="inlineStr">
        <is>
          <t>East</t>
        </is>
      </c>
      <c r="BF2" t="inlineStr">
        <is>
          <t>South</t>
        </is>
      </c>
      <c r="BG2" t="inlineStr">
        <is>
          <t>West</t>
        </is>
      </c>
      <c r="BH2" t="inlineStr">
        <is>
          <t>North</t>
        </is>
      </c>
      <c r="BJ2" t="inlineStr">
        <is>
          <t>East</t>
        </is>
      </c>
      <c r="BK2" t="inlineStr">
        <is>
          <t>South</t>
        </is>
      </c>
      <c r="BL2" t="inlineStr">
        <is>
          <t>West</t>
        </is>
      </c>
      <c r="BM2" t="inlineStr">
        <is>
          <t>North</t>
        </is>
      </c>
      <c r="BO2" t="inlineStr">
        <is>
          <t>East</t>
        </is>
      </c>
      <c r="BP2" t="inlineStr">
        <is>
          <t>South</t>
        </is>
      </c>
      <c r="BQ2" t="inlineStr">
        <is>
          <t>West</t>
        </is>
      </c>
      <c r="BR2" t="inlineStr">
        <is>
          <t>North</t>
        </is>
      </c>
      <c r="BT2" t="inlineStr">
        <is>
          <t>East</t>
        </is>
      </c>
      <c r="BU2" t="inlineStr">
        <is>
          <t>South</t>
        </is>
      </c>
      <c r="BV2" t="inlineStr">
        <is>
          <t>West</t>
        </is>
      </c>
      <c r="BW2" t="inlineStr">
        <is>
          <t>North</t>
        </is>
      </c>
      <c r="BY2" t="inlineStr">
        <is>
          <t>East</t>
        </is>
      </c>
      <c r="BZ2" t="inlineStr">
        <is>
          <t>South</t>
        </is>
      </c>
      <c r="CA2" t="inlineStr">
        <is>
          <t>West</t>
        </is>
      </c>
      <c r="CB2" t="inlineStr">
        <is>
          <t>North</t>
        </is>
      </c>
      <c r="CD2" t="inlineStr">
        <is>
          <t>East</t>
        </is>
      </c>
      <c r="CE2" t="inlineStr">
        <is>
          <t>South</t>
        </is>
      </c>
      <c r="CF2" t="inlineStr">
        <is>
          <t>West</t>
        </is>
      </c>
      <c r="CG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18</v>
      </c>
      <c r="D3">
        <f>34+1</f>
        <v/>
      </c>
      <c r="E3">
        <f>34+18</f>
        <v/>
      </c>
      <c r="G3" t="n">
        <v>17</v>
      </c>
      <c r="H3" t="n">
        <v>34</v>
      </c>
      <c r="I3">
        <f>34+17</f>
        <v/>
      </c>
      <c r="J3">
        <f>34+34</f>
        <v/>
      </c>
      <c r="L3" t="n">
        <v>16</v>
      </c>
      <c r="M3" t="n">
        <v>33</v>
      </c>
      <c r="N3">
        <f>34+16</f>
        <v/>
      </c>
      <c r="O3">
        <f>34+33</f>
        <v/>
      </c>
      <c r="Q3" t="n">
        <v>15</v>
      </c>
      <c r="R3" t="n">
        <v>32</v>
      </c>
      <c r="S3">
        <f>34+15</f>
        <v/>
      </c>
      <c r="T3">
        <f>34+32</f>
        <v/>
      </c>
      <c r="V3" t="n">
        <v>14</v>
      </c>
      <c r="W3" t="n">
        <v>31</v>
      </c>
      <c r="X3">
        <f>34+14</f>
        <v/>
      </c>
      <c r="Y3">
        <f>34+31</f>
        <v/>
      </c>
      <c r="AA3" t="n">
        <v>13</v>
      </c>
      <c r="AB3" t="n">
        <v>30</v>
      </c>
      <c r="AC3">
        <f>34+13</f>
        <v/>
      </c>
      <c r="AD3">
        <f>34+30</f>
        <v/>
      </c>
      <c r="AF3" t="n">
        <v>12</v>
      </c>
      <c r="AG3" t="n">
        <v>29</v>
      </c>
      <c r="AH3">
        <f>34+12</f>
        <v/>
      </c>
      <c r="AI3">
        <f>34+29</f>
        <v/>
      </c>
      <c r="AK3" t="n">
        <v>11</v>
      </c>
      <c r="AL3" t="n">
        <v>28</v>
      </c>
      <c r="AM3">
        <f>34+11</f>
        <v/>
      </c>
      <c r="AN3">
        <f>34+28</f>
        <v/>
      </c>
      <c r="AP3" t="n">
        <v>10</v>
      </c>
      <c r="AQ3" t="n">
        <v>27</v>
      </c>
      <c r="AR3">
        <f>34+10</f>
        <v/>
      </c>
      <c r="AS3">
        <f>34+27</f>
        <v/>
      </c>
      <c r="AU3" t="n">
        <v>9</v>
      </c>
      <c r="AV3" t="n">
        <v>26</v>
      </c>
      <c r="AW3">
        <f>34+9</f>
        <v/>
      </c>
      <c r="AX3">
        <f>34+26</f>
        <v/>
      </c>
      <c r="AZ3" t="n">
        <v>8</v>
      </c>
      <c r="BA3" t="n">
        <v>25</v>
      </c>
      <c r="BB3">
        <f>34+8</f>
        <v/>
      </c>
      <c r="BC3">
        <f>34+25</f>
        <v/>
      </c>
      <c r="BE3" t="n">
        <v>7</v>
      </c>
      <c r="BF3" t="n">
        <v>24</v>
      </c>
      <c r="BG3">
        <f>34+7</f>
        <v/>
      </c>
      <c r="BH3">
        <f>34+24</f>
        <v/>
      </c>
      <c r="BJ3" t="n">
        <v>6</v>
      </c>
      <c r="BK3" t="n">
        <v>23</v>
      </c>
      <c r="BL3">
        <f>34+6</f>
        <v/>
      </c>
      <c r="BM3">
        <f>34+23</f>
        <v/>
      </c>
      <c r="BO3" t="n">
        <v>5</v>
      </c>
      <c r="BP3" t="n">
        <v>22</v>
      </c>
      <c r="BQ3">
        <f>34+5</f>
        <v/>
      </c>
      <c r="BR3">
        <f>34+22</f>
        <v/>
      </c>
      <c r="BT3" t="n">
        <v>4</v>
      </c>
      <c r="BU3" t="n">
        <v>21</v>
      </c>
      <c r="BV3">
        <f>34+4</f>
        <v/>
      </c>
      <c r="BW3">
        <f>34+21</f>
        <v/>
      </c>
      <c r="BY3" t="n">
        <v>3</v>
      </c>
      <c r="BZ3" t="n">
        <v>20</v>
      </c>
      <c r="CA3">
        <f>34+3</f>
        <v/>
      </c>
      <c r="CB3">
        <f>34+20</f>
        <v/>
      </c>
      <c r="CD3" t="n">
        <v>2</v>
      </c>
      <c r="CE3" t="n">
        <v>19</v>
      </c>
      <c r="CF3">
        <f>34+2</f>
        <v/>
      </c>
      <c r="CG3">
        <f>34+19</f>
        <v/>
      </c>
    </row>
    <row r="4">
      <c r="A4" t="inlineStr">
        <is>
          <t>R2</t>
        </is>
      </c>
      <c r="B4">
        <f>34+15</f>
        <v/>
      </c>
      <c r="C4">
        <f>34+31</f>
        <v/>
      </c>
      <c r="D4" t="n">
        <v>17</v>
      </c>
      <c r="E4" t="n">
        <v>33</v>
      </c>
      <c r="G4">
        <f>34+14</f>
        <v/>
      </c>
      <c r="H4">
        <f>34+30</f>
        <v/>
      </c>
      <c r="I4" t="n">
        <v>16</v>
      </c>
      <c r="J4" t="n">
        <v>32</v>
      </c>
      <c r="L4">
        <f>34+13</f>
        <v/>
      </c>
      <c r="M4">
        <f>34+29</f>
        <v/>
      </c>
      <c r="N4" t="n">
        <v>15</v>
      </c>
      <c r="O4" t="n">
        <v>31</v>
      </c>
      <c r="Q4">
        <f>34+12</f>
        <v/>
      </c>
      <c r="R4">
        <f>34+28</f>
        <v/>
      </c>
      <c r="S4" t="n">
        <v>14</v>
      </c>
      <c r="T4" t="n">
        <v>30</v>
      </c>
      <c r="V4">
        <f>34+11</f>
        <v/>
      </c>
      <c r="W4">
        <f>34+27</f>
        <v/>
      </c>
      <c r="X4" t="n">
        <v>13</v>
      </c>
      <c r="Y4" t="n">
        <v>29</v>
      </c>
      <c r="AA4">
        <f>34+10</f>
        <v/>
      </c>
      <c r="AB4">
        <f>34+26</f>
        <v/>
      </c>
      <c r="AC4" t="n">
        <v>12</v>
      </c>
      <c r="AD4" t="n">
        <v>28</v>
      </c>
      <c r="AF4">
        <f>34+9</f>
        <v/>
      </c>
      <c r="AG4">
        <f>34+25</f>
        <v/>
      </c>
      <c r="AH4" t="n">
        <v>11</v>
      </c>
      <c r="AI4" t="n">
        <v>27</v>
      </c>
      <c r="AK4">
        <f>34+8</f>
        <v/>
      </c>
      <c r="AL4">
        <f>34+24</f>
        <v/>
      </c>
      <c r="AM4" t="n">
        <v>10</v>
      </c>
      <c r="AN4" t="n">
        <v>26</v>
      </c>
      <c r="AP4">
        <f>34+7</f>
        <v/>
      </c>
      <c r="AQ4">
        <f>34+23</f>
        <v/>
      </c>
      <c r="AR4" t="n">
        <v>9</v>
      </c>
      <c r="AS4" t="n">
        <v>25</v>
      </c>
      <c r="AU4">
        <f>34+6</f>
        <v/>
      </c>
      <c r="AV4">
        <f>34+22</f>
        <v/>
      </c>
      <c r="AW4" t="n">
        <v>8</v>
      </c>
      <c r="AX4" t="n">
        <v>24</v>
      </c>
      <c r="AZ4">
        <f>34+5</f>
        <v/>
      </c>
      <c r="BA4">
        <f>34+21</f>
        <v/>
      </c>
      <c r="BB4" t="n">
        <v>7</v>
      </c>
      <c r="BC4" t="n">
        <v>23</v>
      </c>
      <c r="BE4">
        <f>34+4</f>
        <v/>
      </c>
      <c r="BF4">
        <f>34+20</f>
        <v/>
      </c>
      <c r="BG4" t="n">
        <v>6</v>
      </c>
      <c r="BH4" t="n">
        <v>22</v>
      </c>
      <c r="BJ4">
        <f>34+3</f>
        <v/>
      </c>
      <c r="BK4">
        <f>34+19</f>
        <v/>
      </c>
      <c r="BL4" t="n">
        <v>5</v>
      </c>
      <c r="BM4" t="n">
        <v>21</v>
      </c>
      <c r="BO4">
        <f>34+2</f>
        <v/>
      </c>
      <c r="BP4">
        <f>34+18</f>
        <v/>
      </c>
      <c r="BQ4" t="n">
        <v>4</v>
      </c>
      <c r="BR4" t="n">
        <v>20</v>
      </c>
      <c r="BT4">
        <f>34+1</f>
        <v/>
      </c>
      <c r="BU4">
        <f>34+34</f>
        <v/>
      </c>
      <c r="BV4" t="n">
        <v>3</v>
      </c>
      <c r="BW4" t="n">
        <v>19</v>
      </c>
      <c r="BY4">
        <f>34+17</f>
        <v/>
      </c>
      <c r="BZ4">
        <f>34+33</f>
        <v/>
      </c>
      <c r="CA4" t="n">
        <v>2</v>
      </c>
      <c r="CB4" t="n">
        <v>18</v>
      </c>
      <c r="CD4">
        <f>34+16</f>
        <v/>
      </c>
      <c r="CE4">
        <f>34+32</f>
        <v/>
      </c>
      <c r="CF4" t="n">
        <v>1</v>
      </c>
      <c r="CG4" t="n">
        <v>34</v>
      </c>
    </row>
    <row r="5">
      <c r="A5" t="inlineStr">
        <is>
          <t>R3</t>
        </is>
      </c>
      <c r="B5" t="n">
        <v>31</v>
      </c>
      <c r="C5">
        <f>34+12</f>
        <v/>
      </c>
      <c r="D5">
        <f>34+27</f>
        <v/>
      </c>
      <c r="E5" t="n">
        <v>16</v>
      </c>
      <c r="G5" t="n">
        <v>30</v>
      </c>
      <c r="H5">
        <f>34+11</f>
        <v/>
      </c>
      <c r="I5">
        <f>34+26</f>
        <v/>
      </c>
      <c r="J5" t="n">
        <v>15</v>
      </c>
      <c r="L5" t="n">
        <v>29</v>
      </c>
      <c r="M5">
        <f>34+10</f>
        <v/>
      </c>
      <c r="N5">
        <f>34+25</f>
        <v/>
      </c>
      <c r="O5" t="n">
        <v>14</v>
      </c>
      <c r="Q5" t="n">
        <v>28</v>
      </c>
      <c r="R5">
        <f>34+9</f>
        <v/>
      </c>
      <c r="S5">
        <f>34+24</f>
        <v/>
      </c>
      <c r="T5" t="n">
        <v>13</v>
      </c>
      <c r="V5" t="n">
        <v>27</v>
      </c>
      <c r="W5">
        <f>34+8</f>
        <v/>
      </c>
      <c r="X5">
        <f>34+23</f>
        <v/>
      </c>
      <c r="Y5" t="n">
        <v>12</v>
      </c>
      <c r="AA5" t="n">
        <v>26</v>
      </c>
      <c r="AB5">
        <f>34+7</f>
        <v/>
      </c>
      <c r="AC5">
        <f>34+22</f>
        <v/>
      </c>
      <c r="AD5" t="n">
        <v>11</v>
      </c>
      <c r="AF5" t="n">
        <v>25</v>
      </c>
      <c r="AG5">
        <f>34+6</f>
        <v/>
      </c>
      <c r="AH5">
        <f>34+21</f>
        <v/>
      </c>
      <c r="AI5" t="n">
        <v>10</v>
      </c>
      <c r="AK5" t="n">
        <v>24</v>
      </c>
      <c r="AL5">
        <f>34+5</f>
        <v/>
      </c>
      <c r="AM5">
        <f>34+20</f>
        <v/>
      </c>
      <c r="AN5" t="n">
        <v>9</v>
      </c>
      <c r="AP5" t="n">
        <v>23</v>
      </c>
      <c r="AQ5">
        <f>34+4</f>
        <v/>
      </c>
      <c r="AR5">
        <f>34+19</f>
        <v/>
      </c>
      <c r="AS5" t="n">
        <v>8</v>
      </c>
      <c r="AU5" t="n">
        <v>22</v>
      </c>
      <c r="AV5">
        <f>34+3</f>
        <v/>
      </c>
      <c r="AW5">
        <f>34+18</f>
        <v/>
      </c>
      <c r="AX5" t="n">
        <v>7</v>
      </c>
      <c r="AZ5" t="n">
        <v>21</v>
      </c>
      <c r="BA5">
        <f>34+2</f>
        <v/>
      </c>
      <c r="BB5">
        <f>34+34</f>
        <v/>
      </c>
      <c r="BC5" t="n">
        <v>6</v>
      </c>
      <c r="BE5" t="n">
        <v>20</v>
      </c>
      <c r="BF5">
        <f>34+1</f>
        <v/>
      </c>
      <c r="BG5">
        <f>34+33</f>
        <v/>
      </c>
      <c r="BH5" t="n">
        <v>5</v>
      </c>
      <c r="BJ5" t="n">
        <v>19</v>
      </c>
      <c r="BK5">
        <f>34+17</f>
        <v/>
      </c>
      <c r="BL5">
        <f>34+32</f>
        <v/>
      </c>
      <c r="BM5" t="n">
        <v>4</v>
      </c>
      <c r="BO5" t="n">
        <v>18</v>
      </c>
      <c r="BP5">
        <f>34+16</f>
        <v/>
      </c>
      <c r="BQ5">
        <f>34+31</f>
        <v/>
      </c>
      <c r="BR5" t="n">
        <v>3</v>
      </c>
      <c r="BT5" t="n">
        <v>34</v>
      </c>
      <c r="BU5">
        <f>34+15</f>
        <v/>
      </c>
      <c r="BV5">
        <f>34+30</f>
        <v/>
      </c>
      <c r="BW5" t="n">
        <v>2</v>
      </c>
      <c r="BY5" t="n">
        <v>33</v>
      </c>
      <c r="BZ5">
        <f>34+14</f>
        <v/>
      </c>
      <c r="CA5">
        <f>34+29</f>
        <v/>
      </c>
      <c r="CB5" t="n">
        <v>1</v>
      </c>
      <c r="CD5" t="n">
        <v>32</v>
      </c>
      <c r="CE5">
        <f>34+13</f>
        <v/>
      </c>
      <c r="CF5">
        <f>34+28</f>
        <v/>
      </c>
      <c r="CG5" t="n">
        <v>17</v>
      </c>
    </row>
    <row r="6">
      <c r="A6" t="inlineStr">
        <is>
          <t>R4</t>
        </is>
      </c>
      <c r="B6">
        <f>34+23</f>
        <v/>
      </c>
      <c r="C6" t="n">
        <v>15</v>
      </c>
      <c r="D6" t="n">
        <v>29</v>
      </c>
      <c r="E6">
        <f>34+9</f>
        <v/>
      </c>
      <c r="G6">
        <f>34+22</f>
        <v/>
      </c>
      <c r="H6" t="n">
        <v>14</v>
      </c>
      <c r="I6" t="n">
        <v>28</v>
      </c>
      <c r="J6">
        <f>34+8</f>
        <v/>
      </c>
      <c r="L6">
        <f>34+21</f>
        <v/>
      </c>
      <c r="M6" t="n">
        <v>13</v>
      </c>
      <c r="N6" t="n">
        <v>27</v>
      </c>
      <c r="O6">
        <f>34+7</f>
        <v/>
      </c>
      <c r="Q6">
        <f>34+20</f>
        <v/>
      </c>
      <c r="R6" t="n">
        <v>12</v>
      </c>
      <c r="S6" t="n">
        <v>26</v>
      </c>
      <c r="T6">
        <f>34+6</f>
        <v/>
      </c>
      <c r="V6">
        <f>34+19</f>
        <v/>
      </c>
      <c r="W6" t="n">
        <v>11</v>
      </c>
      <c r="X6" t="n">
        <v>25</v>
      </c>
      <c r="Y6">
        <f>34+5</f>
        <v/>
      </c>
      <c r="AA6">
        <f>34+18</f>
        <v/>
      </c>
      <c r="AB6" t="n">
        <v>10</v>
      </c>
      <c r="AC6" t="n">
        <v>24</v>
      </c>
      <c r="AD6">
        <f>34+4</f>
        <v/>
      </c>
      <c r="AF6">
        <f>34+34</f>
        <v/>
      </c>
      <c r="AG6" t="n">
        <v>9</v>
      </c>
      <c r="AH6" t="n">
        <v>23</v>
      </c>
      <c r="AI6">
        <f>34+3</f>
        <v/>
      </c>
      <c r="AK6">
        <f>34+33</f>
        <v/>
      </c>
      <c r="AL6" t="n">
        <v>8</v>
      </c>
      <c r="AM6" t="n">
        <v>22</v>
      </c>
      <c r="AN6">
        <f>34+2</f>
        <v/>
      </c>
      <c r="AP6">
        <f>34+32</f>
        <v/>
      </c>
      <c r="AQ6" t="n">
        <v>7</v>
      </c>
      <c r="AR6" t="n">
        <v>21</v>
      </c>
      <c r="AS6">
        <f>34+1</f>
        <v/>
      </c>
      <c r="AU6">
        <f>34+31</f>
        <v/>
      </c>
      <c r="AV6" t="n">
        <v>6</v>
      </c>
      <c r="AW6" t="n">
        <v>20</v>
      </c>
      <c r="AX6">
        <f>34+17</f>
        <v/>
      </c>
      <c r="AZ6">
        <f>34+30</f>
        <v/>
      </c>
      <c r="BA6" t="n">
        <v>5</v>
      </c>
      <c r="BB6" t="n">
        <v>19</v>
      </c>
      <c r="BC6">
        <f>34+16</f>
        <v/>
      </c>
      <c r="BE6">
        <f>34+29</f>
        <v/>
      </c>
      <c r="BF6" t="n">
        <v>4</v>
      </c>
      <c r="BG6" t="n">
        <v>18</v>
      </c>
      <c r="BH6">
        <f>34+15</f>
        <v/>
      </c>
      <c r="BJ6">
        <f>34+28</f>
        <v/>
      </c>
      <c r="BK6" t="n">
        <v>3</v>
      </c>
      <c r="BL6" t="n">
        <v>34</v>
      </c>
      <c r="BM6">
        <f>34+14</f>
        <v/>
      </c>
      <c r="BO6">
        <f>34+27</f>
        <v/>
      </c>
      <c r="BP6" t="n">
        <v>2</v>
      </c>
      <c r="BQ6" t="n">
        <v>33</v>
      </c>
      <c r="BR6">
        <f>34+13</f>
        <v/>
      </c>
      <c r="BT6">
        <f>34+26</f>
        <v/>
      </c>
      <c r="BU6" t="n">
        <v>1</v>
      </c>
      <c r="BV6" t="n">
        <v>32</v>
      </c>
      <c r="BW6">
        <f>34+12</f>
        <v/>
      </c>
      <c r="BY6">
        <f>34+25</f>
        <v/>
      </c>
      <c r="BZ6" t="n">
        <v>17</v>
      </c>
      <c r="CA6" t="n">
        <v>31</v>
      </c>
      <c r="CB6">
        <f>34+11</f>
        <v/>
      </c>
      <c r="CD6">
        <f>34+24</f>
        <v/>
      </c>
      <c r="CE6" t="n">
        <v>16</v>
      </c>
      <c r="CF6" t="n">
        <v>30</v>
      </c>
      <c r="CG6">
        <f>34+10</f>
        <v/>
      </c>
    </row>
    <row r="7">
      <c r="A7" t="inlineStr">
        <is>
          <t>R5</t>
        </is>
      </c>
      <c r="B7" t="n">
        <v>14</v>
      </c>
      <c r="C7" t="n">
        <v>27</v>
      </c>
      <c r="D7">
        <f>34+6</f>
        <v/>
      </c>
      <c r="E7">
        <f>34+19</f>
        <v/>
      </c>
      <c r="G7" t="n">
        <v>13</v>
      </c>
      <c r="H7" t="n">
        <v>26</v>
      </c>
      <c r="I7">
        <f>34+5</f>
        <v/>
      </c>
      <c r="J7">
        <f>34+18</f>
        <v/>
      </c>
      <c r="L7" t="n">
        <v>12</v>
      </c>
      <c r="M7" t="n">
        <v>25</v>
      </c>
      <c r="N7">
        <f>34+4</f>
        <v/>
      </c>
      <c r="O7">
        <f>34+34</f>
        <v/>
      </c>
      <c r="Q7" t="n">
        <v>11</v>
      </c>
      <c r="R7" t="n">
        <v>24</v>
      </c>
      <c r="S7">
        <f>34+3</f>
        <v/>
      </c>
      <c r="T7">
        <f>34+33</f>
        <v/>
      </c>
      <c r="V7" t="n">
        <v>10</v>
      </c>
      <c r="W7" t="n">
        <v>23</v>
      </c>
      <c r="X7">
        <f>34+2</f>
        <v/>
      </c>
      <c r="Y7">
        <f>34+32</f>
        <v/>
      </c>
      <c r="AA7" t="n">
        <v>9</v>
      </c>
      <c r="AB7" t="n">
        <v>22</v>
      </c>
      <c r="AC7">
        <f>34+1</f>
        <v/>
      </c>
      <c r="AD7">
        <f>34+31</f>
        <v/>
      </c>
      <c r="AF7" t="n">
        <v>8</v>
      </c>
      <c r="AG7" t="n">
        <v>21</v>
      </c>
      <c r="AH7">
        <f>34+17</f>
        <v/>
      </c>
      <c r="AI7">
        <f>34+30</f>
        <v/>
      </c>
      <c r="AK7" t="n">
        <v>7</v>
      </c>
      <c r="AL7" t="n">
        <v>20</v>
      </c>
      <c r="AM7">
        <f>34+16</f>
        <v/>
      </c>
      <c r="AN7">
        <f>34+29</f>
        <v/>
      </c>
      <c r="AP7" t="n">
        <v>6</v>
      </c>
      <c r="AQ7" t="n">
        <v>19</v>
      </c>
      <c r="AR7">
        <f>34+15</f>
        <v/>
      </c>
      <c r="AS7">
        <f>34+28</f>
        <v/>
      </c>
      <c r="AU7" t="n">
        <v>5</v>
      </c>
      <c r="AV7" t="n">
        <v>18</v>
      </c>
      <c r="AW7">
        <f>34+14</f>
        <v/>
      </c>
      <c r="AX7">
        <f>34+27</f>
        <v/>
      </c>
      <c r="AZ7" t="n">
        <v>4</v>
      </c>
      <c r="BA7" t="n">
        <v>34</v>
      </c>
      <c r="BB7">
        <f>34+13</f>
        <v/>
      </c>
      <c r="BC7">
        <f>34+26</f>
        <v/>
      </c>
      <c r="BE7" t="n">
        <v>3</v>
      </c>
      <c r="BF7" t="n">
        <v>33</v>
      </c>
      <c r="BG7">
        <f>34+12</f>
        <v/>
      </c>
      <c r="BH7">
        <f>34+25</f>
        <v/>
      </c>
      <c r="BJ7" t="n">
        <v>2</v>
      </c>
      <c r="BK7" t="n">
        <v>32</v>
      </c>
      <c r="BL7">
        <f>34+11</f>
        <v/>
      </c>
      <c r="BM7">
        <f>34+24</f>
        <v/>
      </c>
      <c r="BO7" t="n">
        <v>1</v>
      </c>
      <c r="BP7" t="n">
        <v>31</v>
      </c>
      <c r="BQ7">
        <f>34+10</f>
        <v/>
      </c>
      <c r="BR7">
        <f>34+23</f>
        <v/>
      </c>
      <c r="BT7" t="n">
        <v>17</v>
      </c>
      <c r="BU7" t="n">
        <v>30</v>
      </c>
      <c r="BV7">
        <f>34+9</f>
        <v/>
      </c>
      <c r="BW7">
        <f>34+22</f>
        <v/>
      </c>
      <c r="BY7" t="n">
        <v>16</v>
      </c>
      <c r="BZ7" t="n">
        <v>29</v>
      </c>
      <c r="CA7">
        <f>34+8</f>
        <v/>
      </c>
      <c r="CB7">
        <f>34+21</f>
        <v/>
      </c>
      <c r="CD7" t="n">
        <v>15</v>
      </c>
      <c r="CE7" t="n">
        <v>28</v>
      </c>
      <c r="CF7">
        <f>34+7</f>
        <v/>
      </c>
      <c r="CG7">
        <f>34+20</f>
        <v/>
      </c>
    </row>
    <row r="8">
      <c r="A8" t="inlineStr">
        <is>
          <t>R6</t>
        </is>
      </c>
      <c r="B8">
        <f>34+3</f>
        <v/>
      </c>
      <c r="C8">
        <f>34+32</f>
        <v/>
      </c>
      <c r="D8" t="n">
        <v>13</v>
      </c>
      <c r="E8" t="n">
        <v>25</v>
      </c>
      <c r="G8">
        <f>34+2</f>
        <v/>
      </c>
      <c r="H8">
        <f>34+31</f>
        <v/>
      </c>
      <c r="I8" t="n">
        <v>12</v>
      </c>
      <c r="J8" t="n">
        <v>24</v>
      </c>
      <c r="L8">
        <f>34+1</f>
        <v/>
      </c>
      <c r="M8">
        <f>34+30</f>
        <v/>
      </c>
      <c r="N8" t="n">
        <v>11</v>
      </c>
      <c r="O8" t="n">
        <v>23</v>
      </c>
      <c r="Q8">
        <f>34+17</f>
        <v/>
      </c>
      <c r="R8">
        <f>34+29</f>
        <v/>
      </c>
      <c r="S8" t="n">
        <v>10</v>
      </c>
      <c r="T8" t="n">
        <v>22</v>
      </c>
      <c r="V8">
        <f>34+16</f>
        <v/>
      </c>
      <c r="W8">
        <f>34+28</f>
        <v/>
      </c>
      <c r="X8" t="n">
        <v>9</v>
      </c>
      <c r="Y8" t="n">
        <v>21</v>
      </c>
      <c r="AA8">
        <f>34+15</f>
        <v/>
      </c>
      <c r="AB8">
        <f>34+27</f>
        <v/>
      </c>
      <c r="AC8" t="n">
        <v>8</v>
      </c>
      <c r="AD8" t="n">
        <v>20</v>
      </c>
      <c r="AF8">
        <f>34+14</f>
        <v/>
      </c>
      <c r="AG8">
        <f>34+26</f>
        <v/>
      </c>
      <c r="AH8" t="n">
        <v>7</v>
      </c>
      <c r="AI8" t="n">
        <v>19</v>
      </c>
      <c r="AK8">
        <f>34+13</f>
        <v/>
      </c>
      <c r="AL8">
        <f>34+25</f>
        <v/>
      </c>
      <c r="AM8" t="n">
        <v>6</v>
      </c>
      <c r="AN8" t="n">
        <v>18</v>
      </c>
      <c r="AP8">
        <f>34+12</f>
        <v/>
      </c>
      <c r="AQ8">
        <f>34+24</f>
        <v/>
      </c>
      <c r="AR8" t="n">
        <v>5</v>
      </c>
      <c r="AS8" t="n">
        <v>34</v>
      </c>
      <c r="AU8">
        <f>34+11</f>
        <v/>
      </c>
      <c r="AV8">
        <f>34+23</f>
        <v/>
      </c>
      <c r="AW8" t="n">
        <v>4</v>
      </c>
      <c r="AX8" t="n">
        <v>33</v>
      </c>
      <c r="AZ8">
        <f>34+10</f>
        <v/>
      </c>
      <c r="BA8">
        <f>34+22</f>
        <v/>
      </c>
      <c r="BB8" t="n">
        <v>3</v>
      </c>
      <c r="BC8" t="n">
        <v>32</v>
      </c>
      <c r="BE8">
        <f>34+9</f>
        <v/>
      </c>
      <c r="BF8">
        <f>34+21</f>
        <v/>
      </c>
      <c r="BG8" t="n">
        <v>2</v>
      </c>
      <c r="BH8" t="n">
        <v>31</v>
      </c>
      <c r="BJ8">
        <f>34+8</f>
        <v/>
      </c>
      <c r="BK8">
        <f>34+20</f>
        <v/>
      </c>
      <c r="BL8" t="n">
        <v>1</v>
      </c>
      <c r="BM8" t="n">
        <v>30</v>
      </c>
      <c r="BO8">
        <f>34+7</f>
        <v/>
      </c>
      <c r="BP8">
        <f>34+19</f>
        <v/>
      </c>
      <c r="BQ8" t="n">
        <v>17</v>
      </c>
      <c r="BR8" t="n">
        <v>29</v>
      </c>
      <c r="BT8">
        <f>34+6</f>
        <v/>
      </c>
      <c r="BU8">
        <f>34+18</f>
        <v/>
      </c>
      <c r="BV8" t="n">
        <v>16</v>
      </c>
      <c r="BW8" t="n">
        <v>28</v>
      </c>
      <c r="BY8">
        <f>34+5</f>
        <v/>
      </c>
      <c r="BZ8">
        <f>34+34</f>
        <v/>
      </c>
      <c r="CA8" t="n">
        <v>15</v>
      </c>
      <c r="CB8" t="n">
        <v>27</v>
      </c>
      <c r="CD8">
        <f>34+4</f>
        <v/>
      </c>
      <c r="CE8">
        <f>34+33</f>
        <v/>
      </c>
      <c r="CF8" t="n">
        <v>14</v>
      </c>
      <c r="CG8" t="n">
        <v>26</v>
      </c>
    </row>
    <row r="9">
      <c r="A9" t="inlineStr">
        <is>
          <t>R7</t>
        </is>
      </c>
      <c r="B9" t="n">
        <v>23</v>
      </c>
      <c r="C9">
        <f>34+17</f>
        <v/>
      </c>
      <c r="D9">
        <f>34+28</f>
        <v/>
      </c>
      <c r="E9" t="n">
        <v>12</v>
      </c>
      <c r="G9" t="n">
        <v>22</v>
      </c>
      <c r="H9">
        <f>34+16</f>
        <v/>
      </c>
      <c r="I9">
        <f>34+27</f>
        <v/>
      </c>
      <c r="J9" t="n">
        <v>11</v>
      </c>
      <c r="L9" t="n">
        <v>21</v>
      </c>
      <c r="M9">
        <f>34+15</f>
        <v/>
      </c>
      <c r="N9">
        <f>34+26</f>
        <v/>
      </c>
      <c r="O9" t="n">
        <v>10</v>
      </c>
      <c r="Q9" t="n">
        <v>20</v>
      </c>
      <c r="R9">
        <f>34+14</f>
        <v/>
      </c>
      <c r="S9">
        <f>34+25</f>
        <v/>
      </c>
      <c r="T9" t="n">
        <v>9</v>
      </c>
      <c r="V9" t="n">
        <v>19</v>
      </c>
      <c r="W9">
        <f>34+13</f>
        <v/>
      </c>
      <c r="X9">
        <f>34+24</f>
        <v/>
      </c>
      <c r="Y9" t="n">
        <v>8</v>
      </c>
      <c r="AA9" t="n">
        <v>18</v>
      </c>
      <c r="AB9">
        <f>34+12</f>
        <v/>
      </c>
      <c r="AC9">
        <f>34+23</f>
        <v/>
      </c>
      <c r="AD9" t="n">
        <v>7</v>
      </c>
      <c r="AF9" t="n">
        <v>34</v>
      </c>
      <c r="AG9">
        <f>34+11</f>
        <v/>
      </c>
      <c r="AH9">
        <f>34+22</f>
        <v/>
      </c>
      <c r="AI9" t="n">
        <v>6</v>
      </c>
      <c r="AK9" t="n">
        <v>33</v>
      </c>
      <c r="AL9">
        <f>34+10</f>
        <v/>
      </c>
      <c r="AM9">
        <f>34+21</f>
        <v/>
      </c>
      <c r="AN9" t="n">
        <v>5</v>
      </c>
      <c r="AP9" t="n">
        <v>32</v>
      </c>
      <c r="AQ9">
        <f>34+9</f>
        <v/>
      </c>
      <c r="AR9">
        <f>34+20</f>
        <v/>
      </c>
      <c r="AS9" t="n">
        <v>4</v>
      </c>
      <c r="AU9" t="n">
        <v>31</v>
      </c>
      <c r="AV9">
        <f>34+8</f>
        <v/>
      </c>
      <c r="AW9">
        <f>34+19</f>
        <v/>
      </c>
      <c r="AX9" t="n">
        <v>3</v>
      </c>
      <c r="AZ9" t="n">
        <v>30</v>
      </c>
      <c r="BA9">
        <f>34+7</f>
        <v/>
      </c>
      <c r="BB9">
        <f>34+18</f>
        <v/>
      </c>
      <c r="BC9" t="n">
        <v>2</v>
      </c>
      <c r="BE9" t="n">
        <v>29</v>
      </c>
      <c r="BF9">
        <f>34+6</f>
        <v/>
      </c>
      <c r="BG9">
        <f>34+34</f>
        <v/>
      </c>
      <c r="BH9" t="n">
        <v>1</v>
      </c>
      <c r="BJ9" t="n">
        <v>28</v>
      </c>
      <c r="BK9">
        <f>34+5</f>
        <v/>
      </c>
      <c r="BL9">
        <f>34+33</f>
        <v/>
      </c>
      <c r="BM9" t="n">
        <v>17</v>
      </c>
      <c r="BO9" t="n">
        <v>27</v>
      </c>
      <c r="BP9">
        <f>34+4</f>
        <v/>
      </c>
      <c r="BQ9">
        <f>34+32</f>
        <v/>
      </c>
      <c r="BR9" t="n">
        <v>16</v>
      </c>
      <c r="BT9" t="n">
        <v>26</v>
      </c>
      <c r="BU9">
        <f>34+3</f>
        <v/>
      </c>
      <c r="BV9">
        <f>34+31</f>
        <v/>
      </c>
      <c r="BW9" t="n">
        <v>15</v>
      </c>
      <c r="BY9" t="n">
        <v>25</v>
      </c>
      <c r="BZ9">
        <f>34+2</f>
        <v/>
      </c>
      <c r="CA9">
        <f>34+30</f>
        <v/>
      </c>
      <c r="CB9" t="n">
        <v>14</v>
      </c>
      <c r="CD9" t="n">
        <v>24</v>
      </c>
      <c r="CE9">
        <f>34+1</f>
        <v/>
      </c>
      <c r="CF9">
        <f>34+29</f>
        <v/>
      </c>
      <c r="CG9" t="n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L9"/>
  <sheetViews>
    <sheetView zoomScaleNormal="100" workbookViewId="0">
      <selection activeCell="A8" sqref="A8"/>
    </sheetView>
  </sheetViews>
  <sheetFormatPr baseColWidth="8" defaultColWidth="9.140625" defaultRowHeight="15"/>
  <cols>
    <col width="3.140625" bestFit="1" customWidth="1" min="1" max="1"/>
    <col width="7.28515625" bestFit="1" customWidth="1" min="2" max="2"/>
    <col width="6.140625" bestFit="1" customWidth="1" min="3" max="3"/>
    <col width="5.5703125" bestFit="1" customWidth="1" min="4" max="4"/>
    <col width="6.140625" bestFit="1" customWidth="1" min="5" max="5"/>
    <col width="4" customWidth="1" min="6" max="6"/>
    <col width="7.28515625" bestFit="1" customWidth="1" min="7" max="7"/>
    <col width="6.140625" bestFit="1" customWidth="1" min="8" max="8"/>
    <col width="5.5703125" bestFit="1" customWidth="1" min="9" max="9"/>
    <col width="6.140625" bestFit="1" customWidth="1" min="10" max="10"/>
    <col width="4" customWidth="1" min="11" max="11"/>
    <col width="7.28515625" bestFit="1" customWidth="1" min="12" max="12"/>
    <col width="6.140625" bestFit="1" customWidth="1" min="13" max="13"/>
    <col width="5.5703125" bestFit="1" customWidth="1" min="14" max="14"/>
    <col width="6.140625" bestFit="1" customWidth="1" min="15" max="15"/>
    <col width="4" customWidth="1" min="16" max="16"/>
    <col width="7.28515625" bestFit="1" customWidth="1" min="17" max="17"/>
    <col width="6.140625" bestFit="1" customWidth="1" min="18" max="18"/>
    <col width="5.5703125" bestFit="1" customWidth="1" min="19" max="19"/>
    <col width="6.140625" bestFit="1" customWidth="1" min="20" max="20"/>
    <col width="4" customWidth="1" min="21" max="21"/>
    <col width="7.28515625" bestFit="1" customWidth="1" min="22" max="22"/>
    <col width="6.140625" bestFit="1" customWidth="1" min="23" max="23"/>
    <col width="5.5703125" bestFit="1" customWidth="1" min="24" max="24"/>
    <col width="6.140625" bestFit="1" customWidth="1" min="25" max="25"/>
    <col width="4" customWidth="1" min="26" max="26"/>
    <col width="7.28515625" bestFit="1" customWidth="1" min="27" max="27"/>
    <col width="6.140625" bestFit="1" customWidth="1" min="28" max="28"/>
    <col width="5.5703125" bestFit="1" customWidth="1" min="29" max="29"/>
    <col width="6.140625" bestFit="1" customWidth="1" min="30" max="30"/>
    <col width="4" customWidth="1" min="31" max="31"/>
    <col width="7.28515625" bestFit="1" customWidth="1" min="32" max="32"/>
    <col width="6.140625" bestFit="1" customWidth="1" min="33" max="33"/>
    <col width="5.5703125" bestFit="1" customWidth="1" min="34" max="34"/>
    <col width="6.140625" bestFit="1" customWidth="1" min="35" max="35"/>
    <col width="4" customWidth="1" min="36" max="36"/>
    <col width="7.28515625" bestFit="1" customWidth="1" min="37" max="37"/>
    <col width="6.140625" bestFit="1" customWidth="1" min="38" max="38"/>
    <col width="5.5703125" bestFit="1" customWidth="1" min="39" max="39"/>
    <col width="6.140625" bestFit="1" customWidth="1" min="40" max="40"/>
    <col width="4" customWidth="1" min="41" max="41"/>
    <col width="7.28515625" bestFit="1" customWidth="1" min="42" max="42"/>
    <col width="6.140625" bestFit="1" customWidth="1" min="43" max="43"/>
    <col width="5.5703125" bestFit="1" customWidth="1" min="44" max="44"/>
    <col width="6.140625" bestFit="1" customWidth="1" min="45" max="45"/>
    <col width="4" customWidth="1" min="46" max="46"/>
    <col width="8.28515625" bestFit="1" customWidth="1" min="47" max="47"/>
    <col width="6.140625" bestFit="1" customWidth="1" min="48" max="48"/>
    <col width="5.5703125" bestFit="1" customWidth="1" min="49" max="49"/>
    <col width="6.140625" bestFit="1" customWidth="1" min="50" max="50"/>
    <col width="4" customWidth="1" min="51" max="51"/>
    <col width="8.28515625" bestFit="1" customWidth="1" min="52" max="52"/>
    <col width="6.140625" bestFit="1" customWidth="1" min="53" max="53"/>
    <col width="5.5703125" bestFit="1" customWidth="1" min="54" max="54"/>
    <col width="6.140625" bestFit="1" customWidth="1" min="55" max="55"/>
    <col width="4" customWidth="1" min="56" max="56"/>
    <col width="8.28515625" bestFit="1" customWidth="1" min="57" max="57"/>
    <col width="6.140625" bestFit="1" customWidth="1" min="58" max="58"/>
    <col width="5.5703125" bestFit="1" customWidth="1" min="59" max="59"/>
    <col width="6.140625" bestFit="1" customWidth="1" min="60" max="60"/>
    <col width="4" customWidth="1" min="61" max="61"/>
    <col width="8.28515625" bestFit="1" customWidth="1" min="62" max="62"/>
    <col width="6.140625" bestFit="1" customWidth="1" min="63" max="63"/>
    <col width="5.5703125" bestFit="1" customWidth="1" min="64" max="64"/>
    <col width="6.140625" bestFit="1" customWidth="1" min="65" max="65"/>
    <col width="4" customWidth="1" min="66" max="66"/>
    <col width="8.28515625" bestFit="1" customWidth="1" min="67" max="67"/>
    <col width="6.140625" bestFit="1" customWidth="1" min="68" max="68"/>
    <col width="5.5703125" bestFit="1" customWidth="1" min="69" max="69"/>
    <col width="6.140625" bestFit="1" customWidth="1" min="70" max="70"/>
    <col width="4" customWidth="1" min="71" max="71"/>
    <col width="8.28515625" bestFit="1" customWidth="1" min="72" max="72"/>
    <col width="6.140625" bestFit="1" customWidth="1" min="73" max="73"/>
    <col width="5.5703125" bestFit="1" customWidth="1" min="74" max="74"/>
    <col width="6.140625" bestFit="1" customWidth="1" min="75" max="75"/>
    <col width="4" customWidth="1" min="76" max="76"/>
    <col width="8.28515625" bestFit="1" customWidth="1" min="77" max="77"/>
    <col width="6.140625" bestFit="1" customWidth="1" min="78" max="78"/>
    <col width="5.5703125" bestFit="1" customWidth="1" min="79" max="79"/>
    <col width="6.140625" bestFit="1" customWidth="1" min="80" max="80"/>
    <col width="4" customWidth="1" min="81" max="81"/>
    <col width="8.28515625" bestFit="1" customWidth="1" min="82" max="82"/>
    <col width="6.140625" bestFit="1" customWidth="1" min="83" max="83"/>
    <col width="5.5703125" bestFit="1" customWidth="1" min="84" max="84"/>
    <col width="6.140625" bestFit="1" customWidth="1" min="85" max="85"/>
    <col width="4" customWidth="1" min="86" max="86"/>
    <col width="8.28515625" bestFit="1" customWidth="1" min="87" max="87"/>
    <col width="6.140625" bestFit="1" customWidth="1" min="88" max="88"/>
    <col width="5.5703125" bestFit="1" customWidth="1" min="89" max="89"/>
    <col width="6.140625" bestFit="1" customWidth="1" min="90" max="90"/>
    <col width="6.28515625" bestFit="1" customWidth="1" min="92" max="92"/>
    <col width="7.7109375" bestFit="1" customWidth="1" min="93" max="93"/>
    <col width="7" bestFit="1" customWidth="1" min="94" max="94"/>
    <col width="7.7109375" bestFit="1" customWidth="1" min="95" max="95"/>
  </cols>
  <sheetData>
    <row r="1">
      <c r="B1" t="inlineStr">
        <is>
          <t>Table 1</t>
        </is>
      </c>
      <c r="G1" t="inlineStr">
        <is>
          <t>Table 2</t>
        </is>
      </c>
      <c r="L1" t="inlineStr">
        <is>
          <t>Table 3</t>
        </is>
      </c>
      <c r="Q1" t="inlineStr">
        <is>
          <t>Table 4</t>
        </is>
      </c>
      <c r="V1" t="inlineStr">
        <is>
          <t>Table 5</t>
        </is>
      </c>
      <c r="AA1" t="inlineStr">
        <is>
          <t>Table 6</t>
        </is>
      </c>
      <c r="AF1" t="inlineStr">
        <is>
          <t>Table 7</t>
        </is>
      </c>
      <c r="AK1" t="inlineStr">
        <is>
          <t>Table 8</t>
        </is>
      </c>
      <c r="AP1" t="inlineStr">
        <is>
          <t>Table 9</t>
        </is>
      </c>
      <c r="AU1" t="inlineStr">
        <is>
          <t>Table 10</t>
        </is>
      </c>
      <c r="AZ1" t="inlineStr">
        <is>
          <t>Table 11</t>
        </is>
      </c>
      <c r="BE1" t="inlineStr">
        <is>
          <t>Table 12</t>
        </is>
      </c>
      <c r="BJ1" t="inlineStr">
        <is>
          <t>Table 13</t>
        </is>
      </c>
      <c r="BO1" t="inlineStr">
        <is>
          <t>Table 14</t>
        </is>
      </c>
      <c r="BT1" t="inlineStr">
        <is>
          <t>Table 15</t>
        </is>
      </c>
      <c r="BY1" t="inlineStr">
        <is>
          <t>Table 16</t>
        </is>
      </c>
      <c r="CD1" t="inlineStr">
        <is>
          <t>Table 17</t>
        </is>
      </c>
      <c r="CI1" t="inlineStr">
        <is>
          <t>Table 18</t>
        </is>
      </c>
    </row>
    <row r="2">
      <c r="B2" t="inlineStr">
        <is>
          <t>East</t>
        </is>
      </c>
      <c r="C2" t="inlineStr">
        <is>
          <t>South</t>
        </is>
      </c>
      <c r="D2" t="inlineStr">
        <is>
          <t>West</t>
        </is>
      </c>
      <c r="E2" t="inlineStr">
        <is>
          <t>North</t>
        </is>
      </c>
      <c r="G2" t="inlineStr">
        <is>
          <t>East</t>
        </is>
      </c>
      <c r="H2" t="inlineStr">
        <is>
          <t>South</t>
        </is>
      </c>
      <c r="I2" t="inlineStr">
        <is>
          <t>West</t>
        </is>
      </c>
      <c r="J2" t="inlineStr">
        <is>
          <t>North</t>
        </is>
      </c>
      <c r="L2" t="inlineStr">
        <is>
          <t>East</t>
        </is>
      </c>
      <c r="M2" t="inlineStr">
        <is>
          <t>South</t>
        </is>
      </c>
      <c r="N2" t="inlineStr">
        <is>
          <t>West</t>
        </is>
      </c>
      <c r="O2" t="inlineStr">
        <is>
          <t>North</t>
        </is>
      </c>
      <c r="Q2" t="inlineStr">
        <is>
          <t>East</t>
        </is>
      </c>
      <c r="R2" t="inlineStr">
        <is>
          <t>South</t>
        </is>
      </c>
      <c r="S2" t="inlineStr">
        <is>
          <t>West</t>
        </is>
      </c>
      <c r="T2" t="inlineStr">
        <is>
          <t>North</t>
        </is>
      </c>
      <c r="V2" t="inlineStr">
        <is>
          <t>East</t>
        </is>
      </c>
      <c r="W2" t="inlineStr">
        <is>
          <t>South</t>
        </is>
      </c>
      <c r="X2" t="inlineStr">
        <is>
          <t>West</t>
        </is>
      </c>
      <c r="Y2" t="inlineStr">
        <is>
          <t>North</t>
        </is>
      </c>
      <c r="AA2" t="inlineStr">
        <is>
          <t>East</t>
        </is>
      </c>
      <c r="AB2" t="inlineStr">
        <is>
          <t>South</t>
        </is>
      </c>
      <c r="AC2" t="inlineStr">
        <is>
          <t>West</t>
        </is>
      </c>
      <c r="AD2" t="inlineStr">
        <is>
          <t>North</t>
        </is>
      </c>
      <c r="AF2" t="inlineStr">
        <is>
          <t>East</t>
        </is>
      </c>
      <c r="AG2" t="inlineStr">
        <is>
          <t>South</t>
        </is>
      </c>
      <c r="AH2" t="inlineStr">
        <is>
          <t>West</t>
        </is>
      </c>
      <c r="AI2" t="inlineStr">
        <is>
          <t>North</t>
        </is>
      </c>
      <c r="AK2" t="inlineStr">
        <is>
          <t>East</t>
        </is>
      </c>
      <c r="AL2" t="inlineStr">
        <is>
          <t>South</t>
        </is>
      </c>
      <c r="AM2" t="inlineStr">
        <is>
          <t>West</t>
        </is>
      </c>
      <c r="AN2" t="inlineStr">
        <is>
          <t>North</t>
        </is>
      </c>
      <c r="AP2" t="inlineStr">
        <is>
          <t>East</t>
        </is>
      </c>
      <c r="AQ2" t="inlineStr">
        <is>
          <t>South</t>
        </is>
      </c>
      <c r="AR2" t="inlineStr">
        <is>
          <t>West</t>
        </is>
      </c>
      <c r="AS2" t="inlineStr">
        <is>
          <t>North</t>
        </is>
      </c>
      <c r="AU2" t="inlineStr">
        <is>
          <t>East</t>
        </is>
      </c>
      <c r="AV2" t="inlineStr">
        <is>
          <t>South</t>
        </is>
      </c>
      <c r="AW2" t="inlineStr">
        <is>
          <t>West</t>
        </is>
      </c>
      <c r="AX2" t="inlineStr">
        <is>
          <t>North</t>
        </is>
      </c>
      <c r="AZ2" t="inlineStr">
        <is>
          <t>East</t>
        </is>
      </c>
      <c r="BA2" t="inlineStr">
        <is>
          <t>South</t>
        </is>
      </c>
      <c r="BB2" t="inlineStr">
        <is>
          <t>West</t>
        </is>
      </c>
      <c r="BC2" t="inlineStr">
        <is>
          <t>North</t>
        </is>
      </c>
      <c r="BE2" t="inlineStr">
        <is>
          <t>East</t>
        </is>
      </c>
      <c r="BF2" t="inlineStr">
        <is>
          <t>South</t>
        </is>
      </c>
      <c r="BG2" t="inlineStr">
        <is>
          <t>West</t>
        </is>
      </c>
      <c r="BH2" t="inlineStr">
        <is>
          <t>North</t>
        </is>
      </c>
      <c r="BJ2" t="inlineStr">
        <is>
          <t>East</t>
        </is>
      </c>
      <c r="BK2" t="inlineStr">
        <is>
          <t>South</t>
        </is>
      </c>
      <c r="BL2" t="inlineStr">
        <is>
          <t>West</t>
        </is>
      </c>
      <c r="BM2" t="inlineStr">
        <is>
          <t>North</t>
        </is>
      </c>
      <c r="BO2" t="inlineStr">
        <is>
          <t>East</t>
        </is>
      </c>
      <c r="BP2" t="inlineStr">
        <is>
          <t>South</t>
        </is>
      </c>
      <c r="BQ2" t="inlineStr">
        <is>
          <t>West</t>
        </is>
      </c>
      <c r="BR2" t="inlineStr">
        <is>
          <t>North</t>
        </is>
      </c>
      <c r="BT2" t="inlineStr">
        <is>
          <t>East</t>
        </is>
      </c>
      <c r="BU2" t="inlineStr">
        <is>
          <t>South</t>
        </is>
      </c>
      <c r="BV2" t="inlineStr">
        <is>
          <t>West</t>
        </is>
      </c>
      <c r="BW2" t="inlineStr">
        <is>
          <t>North</t>
        </is>
      </c>
      <c r="BY2" t="inlineStr">
        <is>
          <t>East</t>
        </is>
      </c>
      <c r="BZ2" t="inlineStr">
        <is>
          <t>South</t>
        </is>
      </c>
      <c r="CA2" t="inlineStr">
        <is>
          <t>West</t>
        </is>
      </c>
      <c r="CB2" t="inlineStr">
        <is>
          <t>North</t>
        </is>
      </c>
      <c r="CD2" t="inlineStr">
        <is>
          <t>East</t>
        </is>
      </c>
      <c r="CE2" t="inlineStr">
        <is>
          <t>South</t>
        </is>
      </c>
      <c r="CF2" t="inlineStr">
        <is>
          <t>West</t>
        </is>
      </c>
      <c r="CG2" t="inlineStr">
        <is>
          <t>North</t>
        </is>
      </c>
      <c r="CI2" t="inlineStr">
        <is>
          <t>East</t>
        </is>
      </c>
      <c r="CJ2" t="inlineStr">
        <is>
          <t>South</t>
        </is>
      </c>
      <c r="CK2" t="inlineStr">
        <is>
          <t>West</t>
        </is>
      </c>
      <c r="CL2" t="inlineStr">
        <is>
          <t>North</t>
        </is>
      </c>
    </row>
    <row r="3">
      <c r="A3" t="inlineStr">
        <is>
          <t>R1</t>
        </is>
      </c>
      <c r="B3" t="n">
        <v>1</v>
      </c>
      <c r="C3" t="n">
        <v>19</v>
      </c>
      <c r="D3">
        <f>36+1</f>
        <v/>
      </c>
      <c r="E3">
        <f>36+19</f>
        <v/>
      </c>
      <c r="G3" t="n">
        <v>4</v>
      </c>
      <c r="H3" t="n">
        <v>26</v>
      </c>
      <c r="I3">
        <f>36+9</f>
        <v/>
      </c>
      <c r="J3">
        <f>36+24</f>
        <v/>
      </c>
      <c r="L3" t="n">
        <v>7</v>
      </c>
      <c r="M3" t="n">
        <v>24</v>
      </c>
      <c r="N3">
        <f>36+5</f>
        <v/>
      </c>
      <c r="O3">
        <f>36+26</f>
        <v/>
      </c>
      <c r="Q3" t="n">
        <v>17</v>
      </c>
      <c r="R3" t="n">
        <v>31</v>
      </c>
      <c r="S3">
        <f>36+15</f>
        <v/>
      </c>
      <c r="T3">
        <f>36+23</f>
        <v/>
      </c>
      <c r="V3" t="n">
        <v>11</v>
      </c>
      <c r="W3" t="n">
        <v>29</v>
      </c>
      <c r="X3">
        <f>36+11</f>
        <v/>
      </c>
      <c r="Y3">
        <f>36+25</f>
        <v/>
      </c>
      <c r="AA3" t="n">
        <v>14</v>
      </c>
      <c r="AB3" t="n">
        <v>36</v>
      </c>
      <c r="AC3">
        <f>36+16</f>
        <v/>
      </c>
      <c r="AD3">
        <f>36+21</f>
        <v/>
      </c>
      <c r="AF3" t="n">
        <v>2</v>
      </c>
      <c r="AG3" t="n">
        <v>35</v>
      </c>
      <c r="AH3">
        <f>36+12</f>
        <v/>
      </c>
      <c r="AI3">
        <f>36+35</f>
        <v/>
      </c>
      <c r="AK3" t="n">
        <v>5</v>
      </c>
      <c r="AL3" t="n">
        <v>33</v>
      </c>
      <c r="AM3">
        <f>36+17</f>
        <v/>
      </c>
      <c r="AN3">
        <f>36+28</f>
        <v/>
      </c>
      <c r="AP3" t="n">
        <v>8</v>
      </c>
      <c r="AQ3" t="n">
        <v>28</v>
      </c>
      <c r="AR3">
        <f>36+13</f>
        <v/>
      </c>
      <c r="AS3">
        <f>36+33</f>
        <v/>
      </c>
      <c r="AU3" t="n">
        <v>12</v>
      </c>
      <c r="AV3" t="n">
        <v>21</v>
      </c>
      <c r="AW3">
        <f>36+10</f>
        <v/>
      </c>
      <c r="AX3">
        <f>36+22</f>
        <v/>
      </c>
      <c r="AZ3" t="n">
        <v>15</v>
      </c>
      <c r="BA3" t="n">
        <v>25</v>
      </c>
      <c r="BB3">
        <f>36+18</f>
        <v/>
      </c>
      <c r="BC3">
        <f>36+27</f>
        <v/>
      </c>
      <c r="BE3" t="n">
        <v>18</v>
      </c>
      <c r="BF3" t="n">
        <v>23</v>
      </c>
      <c r="BG3">
        <f>36+14</f>
        <v/>
      </c>
      <c r="BH3">
        <f>36+20</f>
        <v/>
      </c>
      <c r="BJ3" t="n">
        <v>16</v>
      </c>
      <c r="BK3" t="n">
        <v>32</v>
      </c>
      <c r="BL3">
        <f>36+8</f>
        <v/>
      </c>
      <c r="BM3">
        <f>36+36</f>
        <v/>
      </c>
      <c r="BO3" t="n">
        <v>10</v>
      </c>
      <c r="BP3" t="n">
        <v>30</v>
      </c>
      <c r="BQ3">
        <f>36+4</f>
        <v/>
      </c>
      <c r="BR3">
        <f>36+29</f>
        <v/>
      </c>
      <c r="BT3" t="n">
        <v>13</v>
      </c>
      <c r="BU3" t="n">
        <v>34</v>
      </c>
      <c r="BV3">
        <f>36+3</f>
        <v/>
      </c>
      <c r="BW3">
        <f>36+31</f>
        <v/>
      </c>
      <c r="BY3" t="n">
        <v>3</v>
      </c>
      <c r="BZ3" t="n">
        <v>20</v>
      </c>
      <c r="CA3">
        <f>36+6</f>
        <v/>
      </c>
      <c r="CB3">
        <f>36+32</f>
        <v/>
      </c>
      <c r="CD3" t="n">
        <v>6</v>
      </c>
      <c r="CE3" t="n">
        <v>27</v>
      </c>
      <c r="CF3">
        <f>36+2</f>
        <v/>
      </c>
      <c r="CG3">
        <f>36+34</f>
        <v/>
      </c>
      <c r="CI3" t="n">
        <v>9</v>
      </c>
      <c r="CJ3" t="n">
        <v>22</v>
      </c>
      <c r="CK3">
        <f>36+7</f>
        <v/>
      </c>
      <c r="CL3">
        <f>36+30</f>
        <v/>
      </c>
    </row>
    <row r="4">
      <c r="A4" t="inlineStr">
        <is>
          <t>R2</t>
        </is>
      </c>
      <c r="B4">
        <f>36+6</f>
        <v/>
      </c>
      <c r="C4">
        <f>36+27</f>
        <v/>
      </c>
      <c r="D4" t="n">
        <v>8</v>
      </c>
      <c r="E4" t="n">
        <v>22</v>
      </c>
      <c r="G4">
        <f>36+2</f>
        <v/>
      </c>
      <c r="H4">
        <f>36+20</f>
        <v/>
      </c>
      <c r="I4" t="n">
        <v>2</v>
      </c>
      <c r="J4" t="n">
        <v>20</v>
      </c>
      <c r="L4">
        <f>36+7</f>
        <v/>
      </c>
      <c r="M4">
        <f>36+22</f>
        <v/>
      </c>
      <c r="N4" t="n">
        <v>5</v>
      </c>
      <c r="O4" t="n">
        <v>27</v>
      </c>
      <c r="Q4">
        <f>36+17</f>
        <v/>
      </c>
      <c r="R4">
        <f>36+19</f>
        <v/>
      </c>
      <c r="S4" t="n">
        <v>15</v>
      </c>
      <c r="T4" t="n">
        <v>34</v>
      </c>
      <c r="V4">
        <f>36+13</f>
        <v/>
      </c>
      <c r="W4">
        <f>36+24</f>
        <v/>
      </c>
      <c r="X4" t="n">
        <v>18</v>
      </c>
      <c r="Y4" t="n">
        <v>32</v>
      </c>
      <c r="AA4">
        <f>36+12</f>
        <v/>
      </c>
      <c r="AB4">
        <f>36+26</f>
        <v/>
      </c>
      <c r="AC4" t="n">
        <v>12</v>
      </c>
      <c r="AD4" t="n">
        <v>30</v>
      </c>
      <c r="AF4">
        <f>36+14</f>
        <v/>
      </c>
      <c r="AG4">
        <f>36+31</f>
        <v/>
      </c>
      <c r="AH4" t="n">
        <v>9</v>
      </c>
      <c r="AI4" t="n">
        <v>29</v>
      </c>
      <c r="AK4">
        <f>36+10</f>
        <v/>
      </c>
      <c r="AL4">
        <f>36+36</f>
        <v/>
      </c>
      <c r="AM4" t="n">
        <v>3</v>
      </c>
      <c r="AN4" t="n">
        <v>36</v>
      </c>
      <c r="AP4">
        <f>36+18</f>
        <v/>
      </c>
      <c r="AQ4">
        <f>36+29</f>
        <v/>
      </c>
      <c r="AR4" t="n">
        <v>6</v>
      </c>
      <c r="AS4" t="n">
        <v>31</v>
      </c>
      <c r="AU4">
        <f>36+15</f>
        <v/>
      </c>
      <c r="AV4">
        <f>36+21</f>
        <v/>
      </c>
      <c r="AW4" t="n">
        <v>16</v>
      </c>
      <c r="AX4" t="n">
        <v>24</v>
      </c>
      <c r="AZ4">
        <f>36+11</f>
        <v/>
      </c>
      <c r="BA4">
        <f>36+23</f>
        <v/>
      </c>
      <c r="BB4" t="n">
        <v>10</v>
      </c>
      <c r="BC4" t="n">
        <v>19</v>
      </c>
      <c r="BE4">
        <f>36+16</f>
        <v/>
      </c>
      <c r="BF4">
        <f>36+25</f>
        <v/>
      </c>
      <c r="BG4" t="n">
        <v>13</v>
      </c>
      <c r="BH4" t="n">
        <v>26</v>
      </c>
      <c r="BJ4">
        <f>36+1</f>
        <v/>
      </c>
      <c r="BK4">
        <f>36+32</f>
        <v/>
      </c>
      <c r="BL4" t="n">
        <v>14</v>
      </c>
      <c r="BM4" t="n">
        <v>35</v>
      </c>
      <c r="BO4">
        <f>36+9</f>
        <v/>
      </c>
      <c r="BP4">
        <f>36+34</f>
        <v/>
      </c>
      <c r="BQ4" t="n">
        <v>17</v>
      </c>
      <c r="BR4" t="n">
        <v>33</v>
      </c>
      <c r="BT4">
        <f>36+5</f>
        <v/>
      </c>
      <c r="BU4">
        <f>36+30</f>
        <v/>
      </c>
      <c r="BV4" t="n">
        <v>11</v>
      </c>
      <c r="BW4" t="n">
        <v>28</v>
      </c>
      <c r="BY4">
        <f>36+8</f>
        <v/>
      </c>
      <c r="BZ4">
        <f>36+28</f>
        <v/>
      </c>
      <c r="CA4" t="n">
        <v>7</v>
      </c>
      <c r="CB4" t="n">
        <v>23</v>
      </c>
      <c r="CD4">
        <f>36+4</f>
        <v/>
      </c>
      <c r="CE4">
        <f>36+33</f>
        <v/>
      </c>
      <c r="CF4" t="n">
        <v>1</v>
      </c>
      <c r="CG4" t="n">
        <v>21</v>
      </c>
      <c r="CI4">
        <f>36+3</f>
        <v/>
      </c>
      <c r="CJ4">
        <f>36+35</f>
        <v/>
      </c>
      <c r="CK4" t="n">
        <v>4</v>
      </c>
      <c r="CL4" t="n">
        <v>25</v>
      </c>
    </row>
    <row r="5">
      <c r="A5" t="inlineStr">
        <is>
          <t>R3</t>
        </is>
      </c>
      <c r="B5" t="n">
        <v>25</v>
      </c>
      <c r="C5">
        <f>36+8</f>
        <v/>
      </c>
      <c r="D5">
        <f>36+23</f>
        <v/>
      </c>
      <c r="E5" t="n">
        <v>6</v>
      </c>
      <c r="G5" t="n">
        <v>23</v>
      </c>
      <c r="H5">
        <f>36+4</f>
        <v/>
      </c>
      <c r="I5">
        <f>36+25</f>
        <v/>
      </c>
      <c r="J5" t="n">
        <v>9</v>
      </c>
      <c r="L5" t="n">
        <v>21</v>
      </c>
      <c r="M5">
        <f>36+3</f>
        <v/>
      </c>
      <c r="N5">
        <f>36+21</f>
        <v/>
      </c>
      <c r="O5" t="n">
        <v>3</v>
      </c>
      <c r="Q5" t="n">
        <v>28</v>
      </c>
      <c r="R5">
        <f>36+10</f>
        <v/>
      </c>
      <c r="S5">
        <f>36+27</f>
        <v/>
      </c>
      <c r="T5" t="n">
        <v>10</v>
      </c>
      <c r="V5" t="n">
        <v>35</v>
      </c>
      <c r="W5">
        <f>36+18</f>
        <v/>
      </c>
      <c r="X5">
        <f>36+20</f>
        <v/>
      </c>
      <c r="Y5" t="n">
        <v>13</v>
      </c>
      <c r="AA5" t="n">
        <v>33</v>
      </c>
      <c r="AB5">
        <f>36+14</f>
        <v/>
      </c>
      <c r="AC5">
        <f>36+22</f>
        <v/>
      </c>
      <c r="AD5" t="n">
        <v>16</v>
      </c>
      <c r="AF5" t="n">
        <v>32</v>
      </c>
      <c r="AG5">
        <f>36+16</f>
        <v/>
      </c>
      <c r="AH5">
        <f>36+30</f>
        <v/>
      </c>
      <c r="AI5" t="n">
        <v>4</v>
      </c>
      <c r="AK5" t="n">
        <v>30</v>
      </c>
      <c r="AL5">
        <f>36+15</f>
        <v/>
      </c>
      <c r="AM5">
        <f>36+32</f>
        <v/>
      </c>
      <c r="AN5" t="n">
        <v>7</v>
      </c>
      <c r="AP5" t="n">
        <v>34</v>
      </c>
      <c r="AQ5">
        <f>36+11</f>
        <v/>
      </c>
      <c r="AR5">
        <f>36+34</f>
        <v/>
      </c>
      <c r="AS5" t="n">
        <v>1</v>
      </c>
      <c r="AU5" t="n">
        <v>27</v>
      </c>
      <c r="AV5">
        <f>36+17</f>
        <v/>
      </c>
      <c r="AW5">
        <f>36+26</f>
        <v/>
      </c>
      <c r="AX5" t="n">
        <v>14</v>
      </c>
      <c r="AZ5" t="n">
        <v>22</v>
      </c>
      <c r="BA5">
        <f>36+13</f>
        <v/>
      </c>
      <c r="BB5">
        <f>36+19</f>
        <v/>
      </c>
      <c r="BC5" t="n">
        <v>17</v>
      </c>
      <c r="BE5" t="n">
        <v>20</v>
      </c>
      <c r="BF5">
        <f>36+12</f>
        <v/>
      </c>
      <c r="BG5">
        <f>36+24</f>
        <v/>
      </c>
      <c r="BH5" t="n">
        <v>11</v>
      </c>
      <c r="BJ5" t="n">
        <v>29</v>
      </c>
      <c r="BK5">
        <f>36+6</f>
        <v/>
      </c>
      <c r="BL5">
        <f>36+28</f>
        <v/>
      </c>
      <c r="BM5" t="n">
        <v>12</v>
      </c>
      <c r="BO5" t="n">
        <v>36</v>
      </c>
      <c r="BP5">
        <f>36+2</f>
        <v/>
      </c>
      <c r="BQ5">
        <f>36+33</f>
        <v/>
      </c>
      <c r="BR5" t="n">
        <v>15</v>
      </c>
      <c r="BT5" t="n">
        <v>31</v>
      </c>
      <c r="BU5">
        <f>36+7</f>
        <v/>
      </c>
      <c r="BV5">
        <f>36+35</f>
        <v/>
      </c>
      <c r="BW5" t="n">
        <v>18</v>
      </c>
      <c r="BY5" t="n">
        <v>26</v>
      </c>
      <c r="BZ5">
        <f>36+1</f>
        <v/>
      </c>
      <c r="CA5">
        <f>36+36</f>
        <v/>
      </c>
      <c r="CB5" t="n">
        <v>5</v>
      </c>
      <c r="CD5" t="n">
        <v>24</v>
      </c>
      <c r="CE5">
        <f>36+9</f>
        <v/>
      </c>
      <c r="CF5">
        <f>36+29</f>
        <v/>
      </c>
      <c r="CG5" t="n">
        <v>8</v>
      </c>
      <c r="CI5" t="n">
        <v>19</v>
      </c>
      <c r="CJ5">
        <f>36+5</f>
        <v/>
      </c>
      <c r="CK5">
        <f>36+31</f>
        <v/>
      </c>
      <c r="CL5" t="n">
        <v>2</v>
      </c>
    </row>
    <row r="6">
      <c r="A6" t="inlineStr">
        <is>
          <t>R4</t>
        </is>
      </c>
      <c r="B6">
        <f>36+29</f>
        <v/>
      </c>
      <c r="C6" t="n">
        <v>5</v>
      </c>
      <c r="D6" t="n">
        <v>29</v>
      </c>
      <c r="E6">
        <f>36+15</f>
        <v/>
      </c>
      <c r="G6">
        <f>36+31</f>
        <v/>
      </c>
      <c r="H6" t="n">
        <v>8</v>
      </c>
      <c r="I6" t="n">
        <v>36</v>
      </c>
      <c r="J6">
        <f>36+11</f>
        <v/>
      </c>
      <c r="L6">
        <f>36+36</f>
        <v/>
      </c>
      <c r="M6" t="n">
        <v>2</v>
      </c>
      <c r="N6" t="n">
        <v>31</v>
      </c>
      <c r="O6">
        <f>36+16</f>
        <v/>
      </c>
      <c r="Q6">
        <f>36+22</f>
        <v/>
      </c>
      <c r="R6" t="n">
        <v>4</v>
      </c>
      <c r="S6" t="n">
        <v>22</v>
      </c>
      <c r="T6">
        <f>36+4</f>
        <v/>
      </c>
      <c r="V6">
        <f>36+27</f>
        <v/>
      </c>
      <c r="W6" t="n">
        <v>7</v>
      </c>
      <c r="X6" t="n">
        <v>20</v>
      </c>
      <c r="Y6">
        <f>36+3</f>
        <v/>
      </c>
      <c r="AA6">
        <f>36+20</f>
        <v/>
      </c>
      <c r="AB6" t="n">
        <v>1</v>
      </c>
      <c r="AC6" t="n">
        <v>27</v>
      </c>
      <c r="AD6">
        <f>36+8</f>
        <v/>
      </c>
      <c r="AF6">
        <f>36+26</f>
        <v/>
      </c>
      <c r="AG6" t="n">
        <v>11</v>
      </c>
      <c r="AH6" t="n">
        <v>34</v>
      </c>
      <c r="AI6">
        <f>36+18</f>
        <v/>
      </c>
      <c r="AK6">
        <f>36+19</f>
        <v/>
      </c>
      <c r="AL6" t="n">
        <v>14</v>
      </c>
      <c r="AM6" t="n">
        <v>32</v>
      </c>
      <c r="AN6">
        <f>36+14</f>
        <v/>
      </c>
      <c r="AP6">
        <f>36+24</f>
        <v/>
      </c>
      <c r="AQ6" t="n">
        <v>17</v>
      </c>
      <c r="AR6" t="n">
        <v>30</v>
      </c>
      <c r="AS6">
        <f>36+10</f>
        <v/>
      </c>
      <c r="AU6">
        <f>36+35</f>
        <v/>
      </c>
      <c r="AV6" t="n">
        <v>6</v>
      </c>
      <c r="AW6" t="n">
        <v>23</v>
      </c>
      <c r="AX6">
        <f>36+9</f>
        <v/>
      </c>
      <c r="AZ6">
        <f>36+28</f>
        <v/>
      </c>
      <c r="BA6" t="n">
        <v>9</v>
      </c>
      <c r="BB6" t="n">
        <v>21</v>
      </c>
      <c r="BC6">
        <f>36+5</f>
        <v/>
      </c>
      <c r="BE6">
        <f>36+33</f>
        <v/>
      </c>
      <c r="BF6" t="n">
        <v>3</v>
      </c>
      <c r="BG6" t="n">
        <v>25</v>
      </c>
      <c r="BH6">
        <f>36+1</f>
        <v/>
      </c>
      <c r="BJ6">
        <f>36+25</f>
        <v/>
      </c>
      <c r="BK6" t="n">
        <v>15</v>
      </c>
      <c r="BL6" t="n">
        <v>24</v>
      </c>
      <c r="BM6">
        <f>36+13</f>
        <v/>
      </c>
      <c r="BO6">
        <f>36+21</f>
        <v/>
      </c>
      <c r="BP6" t="n">
        <v>18</v>
      </c>
      <c r="BQ6" t="n">
        <v>19</v>
      </c>
      <c r="BR6">
        <f>36+12</f>
        <v/>
      </c>
      <c r="BT6">
        <f>36+23</f>
        <v/>
      </c>
      <c r="BU6" t="n">
        <v>12</v>
      </c>
      <c r="BV6" t="n">
        <v>26</v>
      </c>
      <c r="BW6">
        <f>36+17</f>
        <v/>
      </c>
      <c r="BY6">
        <f>36+30</f>
        <v/>
      </c>
      <c r="BZ6" t="n">
        <v>10</v>
      </c>
      <c r="CA6" t="n">
        <v>35</v>
      </c>
      <c r="CB6">
        <f>36+2</f>
        <v/>
      </c>
      <c r="CD6">
        <f>36+32</f>
        <v/>
      </c>
      <c r="CE6" t="n">
        <v>13</v>
      </c>
      <c r="CF6" t="n">
        <v>33</v>
      </c>
      <c r="CG6">
        <f>36+7</f>
        <v/>
      </c>
      <c r="CI6">
        <f>36+34</f>
        <v/>
      </c>
      <c r="CJ6" t="n">
        <v>16</v>
      </c>
      <c r="CK6" t="n">
        <v>28</v>
      </c>
      <c r="CL6">
        <f>36+6</f>
        <v/>
      </c>
    </row>
    <row r="7">
      <c r="A7" t="inlineStr">
        <is>
          <t>R5</t>
        </is>
      </c>
      <c r="B7" t="n">
        <v>3</v>
      </c>
      <c r="C7" t="n">
        <v>32</v>
      </c>
      <c r="D7">
        <f>36+17</f>
        <v/>
      </c>
      <c r="E7">
        <f>36+34</f>
        <v/>
      </c>
      <c r="G7" t="n">
        <v>6</v>
      </c>
      <c r="H7" t="n">
        <v>30</v>
      </c>
      <c r="I7">
        <f>36+13</f>
        <v/>
      </c>
      <c r="J7">
        <f>36+30</f>
        <v/>
      </c>
      <c r="L7" t="n">
        <v>9</v>
      </c>
      <c r="M7" t="n">
        <v>34</v>
      </c>
      <c r="N7">
        <f>36+12</f>
        <v/>
      </c>
      <c r="O7">
        <f>36+32</f>
        <v/>
      </c>
      <c r="Q7" t="n">
        <v>2</v>
      </c>
      <c r="R7" t="n">
        <v>25</v>
      </c>
      <c r="S7">
        <f>36+9</f>
        <v/>
      </c>
      <c r="T7">
        <f>36+21</f>
        <v/>
      </c>
      <c r="V7" t="n">
        <v>5</v>
      </c>
      <c r="W7" t="n">
        <v>23</v>
      </c>
      <c r="X7">
        <f>36+5</f>
        <v/>
      </c>
      <c r="Y7">
        <f>36+23</f>
        <v/>
      </c>
      <c r="AA7" t="n">
        <v>8</v>
      </c>
      <c r="AB7" t="n">
        <v>21</v>
      </c>
      <c r="AC7">
        <f>36+1</f>
        <v/>
      </c>
      <c r="AD7">
        <f>36+25</f>
        <v/>
      </c>
      <c r="AF7" t="n">
        <v>18</v>
      </c>
      <c r="AG7" t="n">
        <v>28</v>
      </c>
      <c r="AH7">
        <f>36+11</f>
        <v/>
      </c>
      <c r="AI7">
        <f>36+22</f>
        <v/>
      </c>
      <c r="AK7" t="n">
        <v>12</v>
      </c>
      <c r="AL7" t="n">
        <v>35</v>
      </c>
      <c r="AM7">
        <f>36+16</f>
        <v/>
      </c>
      <c r="AN7">
        <f>36+27</f>
        <v/>
      </c>
      <c r="AP7" t="n">
        <v>15</v>
      </c>
      <c r="AQ7" t="n">
        <v>33</v>
      </c>
      <c r="AR7">
        <f>36+15</f>
        <v/>
      </c>
      <c r="AS7">
        <f>36+20</f>
        <v/>
      </c>
      <c r="AU7" t="n">
        <v>1</v>
      </c>
      <c r="AV7" t="n">
        <v>26</v>
      </c>
      <c r="AW7">
        <f>36+2</f>
        <v/>
      </c>
      <c r="AX7">
        <f>36+31</f>
        <v/>
      </c>
      <c r="AZ7" t="n">
        <v>4</v>
      </c>
      <c r="BA7" t="n">
        <v>24</v>
      </c>
      <c r="BB7">
        <f>36+7</f>
        <v/>
      </c>
      <c r="BC7">
        <f>36+36</f>
        <v/>
      </c>
      <c r="BE7" t="n">
        <v>7</v>
      </c>
      <c r="BF7" t="n">
        <v>19</v>
      </c>
      <c r="BG7">
        <f>36+6</f>
        <v/>
      </c>
      <c r="BH7">
        <f>36+29</f>
        <v/>
      </c>
      <c r="BJ7" t="n">
        <v>10</v>
      </c>
      <c r="BK7" t="n">
        <v>27</v>
      </c>
      <c r="BL7">
        <f>36+18</f>
        <v/>
      </c>
      <c r="BM7">
        <f>36+24</f>
        <v/>
      </c>
      <c r="BO7" t="n">
        <v>13</v>
      </c>
      <c r="BP7" t="n">
        <v>22</v>
      </c>
      <c r="BQ7">
        <f>36+14</f>
        <v/>
      </c>
      <c r="BR7">
        <f>36+26</f>
        <v/>
      </c>
      <c r="BT7" t="n">
        <v>16</v>
      </c>
      <c r="BU7" t="n">
        <v>20</v>
      </c>
      <c r="BV7">
        <f>36+10</f>
        <v/>
      </c>
      <c r="BW7">
        <f>36+19</f>
        <v/>
      </c>
      <c r="BY7" t="n">
        <v>17</v>
      </c>
      <c r="BZ7" t="n">
        <v>29</v>
      </c>
      <c r="CA7">
        <f>36+4</f>
        <v/>
      </c>
      <c r="CB7">
        <f>36+35</f>
        <v/>
      </c>
      <c r="CD7" t="n">
        <v>11</v>
      </c>
      <c r="CE7" t="n">
        <v>36</v>
      </c>
      <c r="CF7">
        <f>36+3</f>
        <v/>
      </c>
      <c r="CG7">
        <f>36+28</f>
        <v/>
      </c>
      <c r="CI7" t="n">
        <v>14</v>
      </c>
      <c r="CJ7" t="n">
        <v>31</v>
      </c>
      <c r="CK7">
        <f>36+8</f>
        <v/>
      </c>
      <c r="CL7">
        <f>36+33</f>
        <v/>
      </c>
    </row>
    <row r="8">
      <c r="A8" t="inlineStr">
        <is>
          <t>R6</t>
        </is>
      </c>
      <c r="B8">
        <f>36+10</f>
        <v/>
      </c>
      <c r="C8">
        <f>36+33</f>
        <v/>
      </c>
      <c r="D8" t="n">
        <v>7</v>
      </c>
      <c r="E8" t="n">
        <v>35</v>
      </c>
      <c r="G8">
        <f>36+18</f>
        <v/>
      </c>
      <c r="H8">
        <f>36+35</f>
        <v/>
      </c>
      <c r="I8" t="n">
        <v>1</v>
      </c>
      <c r="J8" t="n">
        <v>33</v>
      </c>
      <c r="L8">
        <f>36+14</f>
        <v/>
      </c>
      <c r="M8">
        <f>36+28</f>
        <v/>
      </c>
      <c r="N8" t="n">
        <v>4</v>
      </c>
      <c r="O8" t="n">
        <v>28</v>
      </c>
      <c r="Q8">
        <f>36+2</f>
        <v/>
      </c>
      <c r="R8">
        <f>36+26</f>
        <v/>
      </c>
      <c r="S8" t="n">
        <v>9</v>
      </c>
      <c r="T8" t="n">
        <v>19</v>
      </c>
      <c r="V8">
        <f>36+7</f>
        <v/>
      </c>
      <c r="W8">
        <f>36+19</f>
        <v/>
      </c>
      <c r="X8" t="n">
        <v>3</v>
      </c>
      <c r="Y8" t="n">
        <v>26</v>
      </c>
      <c r="AA8">
        <f>36+6</f>
        <v/>
      </c>
      <c r="AB8">
        <f>36+24</f>
        <v/>
      </c>
      <c r="AC8" t="n">
        <v>6</v>
      </c>
      <c r="AD8" t="n">
        <v>24</v>
      </c>
      <c r="AF8">
        <f>36+13</f>
        <v/>
      </c>
      <c r="AG8">
        <f>36+21</f>
        <v/>
      </c>
      <c r="AH8" t="n">
        <v>13</v>
      </c>
      <c r="AI8" t="n">
        <v>31</v>
      </c>
      <c r="AK8">
        <f>36+12</f>
        <v/>
      </c>
      <c r="AL8">
        <f>36+23</f>
        <v/>
      </c>
      <c r="AM8" t="n">
        <v>16</v>
      </c>
      <c r="AN8" t="n">
        <v>29</v>
      </c>
      <c r="AP8">
        <f>36+17</f>
        <v/>
      </c>
      <c r="AQ8">
        <f>36+25</f>
        <v/>
      </c>
      <c r="AR8" t="n">
        <v>10</v>
      </c>
      <c r="AS8" t="n">
        <v>36</v>
      </c>
      <c r="AU8">
        <f>36+4</f>
        <v/>
      </c>
      <c r="AV8">
        <f>36+30</f>
        <v/>
      </c>
      <c r="AW8" t="n">
        <v>8</v>
      </c>
      <c r="AX8" t="n">
        <v>20</v>
      </c>
      <c r="AZ8">
        <f>36+3</f>
        <v/>
      </c>
      <c r="BA8">
        <f>36+32</f>
        <v/>
      </c>
      <c r="BB8" t="n">
        <v>2</v>
      </c>
      <c r="BC8" t="n">
        <v>27</v>
      </c>
      <c r="BE8">
        <f>36+8</f>
        <v/>
      </c>
      <c r="BF8">
        <f>36+34</f>
        <v/>
      </c>
      <c r="BG8" t="n">
        <v>5</v>
      </c>
      <c r="BH8" t="n">
        <v>22</v>
      </c>
      <c r="BJ8">
        <f>36+11</f>
        <v/>
      </c>
      <c r="BK8">
        <f>36+20</f>
        <v/>
      </c>
      <c r="BL8" t="n">
        <v>17</v>
      </c>
      <c r="BM8" t="n">
        <v>21</v>
      </c>
      <c r="BO8">
        <f>36+16</f>
        <v/>
      </c>
      <c r="BP8">
        <f>36+22</f>
        <v/>
      </c>
      <c r="BQ8" t="n">
        <v>11</v>
      </c>
      <c r="BR8" t="n">
        <v>25</v>
      </c>
      <c r="BT8">
        <f>36+15</f>
        <v/>
      </c>
      <c r="BU8">
        <f>36+27</f>
        <v/>
      </c>
      <c r="BV8" t="n">
        <v>14</v>
      </c>
      <c r="BW8" t="n">
        <v>23</v>
      </c>
      <c r="BY8">
        <f>36+9</f>
        <v/>
      </c>
      <c r="BZ8">
        <f>36+31</f>
        <v/>
      </c>
      <c r="CA8" t="n">
        <v>15</v>
      </c>
      <c r="CB8" t="n">
        <v>32</v>
      </c>
      <c r="CD8">
        <f>36+5</f>
        <v/>
      </c>
      <c r="CE8">
        <f>36+36</f>
        <v/>
      </c>
      <c r="CF8" t="n">
        <v>18</v>
      </c>
      <c r="CG8" t="n">
        <v>30</v>
      </c>
      <c r="CI8">
        <f>36+1</f>
        <v/>
      </c>
      <c r="CJ8">
        <f>36+29</f>
        <v/>
      </c>
      <c r="CK8" t="n">
        <v>12</v>
      </c>
      <c r="CL8" t="n">
        <v>34</v>
      </c>
    </row>
    <row r="9">
      <c r="A9" t="inlineStr">
        <is>
          <t>R7</t>
        </is>
      </c>
      <c r="B9" t="n">
        <v>28</v>
      </c>
      <c r="C9">
        <f>36+12</f>
        <v/>
      </c>
      <c r="D9">
        <f>36+20</f>
        <v/>
      </c>
      <c r="E9" t="n">
        <v>14</v>
      </c>
      <c r="G9" t="n">
        <v>35</v>
      </c>
      <c r="H9">
        <f>36+17</f>
        <v/>
      </c>
      <c r="I9">
        <f>36+22</f>
        <v/>
      </c>
      <c r="J9" t="n">
        <v>17</v>
      </c>
      <c r="L9" t="n">
        <v>33</v>
      </c>
      <c r="M9">
        <f>36+13</f>
        <v/>
      </c>
      <c r="N9">
        <f>36+27</f>
        <v/>
      </c>
      <c r="O9" t="n">
        <v>11</v>
      </c>
      <c r="Q9" t="n">
        <v>32</v>
      </c>
      <c r="R9">
        <f>36+18</f>
        <v/>
      </c>
      <c r="S9">
        <f>36+32</f>
        <v/>
      </c>
      <c r="T9" t="n">
        <v>8</v>
      </c>
      <c r="V9" t="n">
        <v>30</v>
      </c>
      <c r="W9">
        <f>36+14</f>
        <v/>
      </c>
      <c r="X9">
        <f>36+34</f>
        <v/>
      </c>
      <c r="Y9" t="n">
        <v>2</v>
      </c>
      <c r="AA9" t="n">
        <v>34</v>
      </c>
      <c r="AB9">
        <f>36+10</f>
        <v/>
      </c>
      <c r="AC9">
        <f>36+30</f>
        <v/>
      </c>
      <c r="AD9" t="n">
        <v>5</v>
      </c>
      <c r="AF9" t="n">
        <v>25</v>
      </c>
      <c r="AG9">
        <f>36+7</f>
        <v/>
      </c>
      <c r="AH9">
        <f>36+25</f>
        <v/>
      </c>
      <c r="AI9" t="n">
        <v>7</v>
      </c>
      <c r="AK9" t="n">
        <v>23</v>
      </c>
      <c r="AL9">
        <f>36+6</f>
        <v/>
      </c>
      <c r="AM9">
        <f>36+21</f>
        <v/>
      </c>
      <c r="AN9" t="n">
        <v>1</v>
      </c>
      <c r="AP9" t="n">
        <v>21</v>
      </c>
      <c r="AQ9">
        <f>36+2</f>
        <v/>
      </c>
      <c r="AR9">
        <f>36+23</f>
        <v/>
      </c>
      <c r="AS9" t="n">
        <v>4</v>
      </c>
      <c r="AU9" t="n">
        <v>29</v>
      </c>
      <c r="AV9">
        <f>36+5</f>
        <v/>
      </c>
      <c r="AW9">
        <f>36+33</f>
        <v/>
      </c>
      <c r="AX9" t="n">
        <v>13</v>
      </c>
      <c r="AZ9" t="n">
        <v>36</v>
      </c>
      <c r="BA9">
        <f>36+1</f>
        <v/>
      </c>
      <c r="BB9">
        <f>36+35</f>
        <v/>
      </c>
      <c r="BC9" t="n">
        <v>16</v>
      </c>
      <c r="BE9" t="n">
        <v>31</v>
      </c>
      <c r="BF9">
        <f>36+9</f>
        <v/>
      </c>
      <c r="BG9">
        <f>36+28</f>
        <v/>
      </c>
      <c r="BH9" t="n">
        <v>10</v>
      </c>
      <c r="BJ9" t="n">
        <v>26</v>
      </c>
      <c r="BK9">
        <f>36+3</f>
        <v/>
      </c>
      <c r="BL9">
        <f>36+29</f>
        <v/>
      </c>
      <c r="BM9" t="n">
        <v>9</v>
      </c>
      <c r="BO9" t="n">
        <v>24</v>
      </c>
      <c r="BP9">
        <f>36+8</f>
        <v/>
      </c>
      <c r="BQ9">
        <f>36+31</f>
        <v/>
      </c>
      <c r="BR9" t="n">
        <v>3</v>
      </c>
      <c r="BT9" t="n">
        <v>19</v>
      </c>
      <c r="BU9">
        <f>36+4</f>
        <v/>
      </c>
      <c r="BV9">
        <f>36+36</f>
        <v/>
      </c>
      <c r="BW9" t="n">
        <v>6</v>
      </c>
      <c r="BY9" t="n">
        <v>27</v>
      </c>
      <c r="BZ9">
        <f>36+16</f>
        <v/>
      </c>
      <c r="CA9">
        <f>36+19</f>
        <v/>
      </c>
      <c r="CB9" t="n">
        <v>18</v>
      </c>
      <c r="CD9" t="n">
        <v>22</v>
      </c>
      <c r="CE9">
        <f>36+15</f>
        <v/>
      </c>
      <c r="CF9">
        <f>36+24</f>
        <v/>
      </c>
      <c r="CG9" t="n">
        <v>12</v>
      </c>
      <c r="CI9" t="n">
        <v>20</v>
      </c>
      <c r="CJ9">
        <f>36+11</f>
        <v/>
      </c>
      <c r="CK9">
        <f>36+26</f>
        <v/>
      </c>
      <c r="CL9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 Avenel</dc:creator>
  <dcterms:created xsi:type="dcterms:W3CDTF">2022-09-03T12:42:58Z</dcterms:created>
  <dcterms:modified xsi:type="dcterms:W3CDTF">2026-07-10T12:14:06Z</dcterms:modified>
  <cp:lastModifiedBy>Christophe Avenel</cp:lastModifiedBy>
</cp:coreProperties>
</file>