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8800" windowHeight="14100" tabRatio="708"/>
  </bookViews>
  <sheets>
    <sheet name="16 players" sheetId="15" r:id="rId1"/>
    <sheet name="20 players" sheetId="5" r:id="rId2"/>
    <sheet name="24 players" sheetId="16" r:id="rId3"/>
    <sheet name="28 players" sheetId="4" r:id="rId4"/>
    <sheet name="32 players" sheetId="3" r:id="rId5"/>
    <sheet name="36 players" sheetId="1" r:id="rId6"/>
    <sheet name="40 players" sheetId="7" r:id="rId7"/>
    <sheet name="44 players" sheetId="2" r:id="rId8"/>
    <sheet name="48 players" sheetId="8" r:id="rId9"/>
    <sheet name="52 players" sheetId="6" r:id="rId10"/>
    <sheet name="56 players" sheetId="10" r:id="rId11"/>
    <sheet name="60 players" sheetId="12" r:id="rId12"/>
    <sheet name="64 players" sheetId="11" r:id="rId13"/>
    <sheet name="68 players" sheetId="13" r:id="rId14"/>
    <sheet name="72 players" sheetId="14" r:id="rId15"/>
  </sheets>
  <calcPr calcId="162913"/>
</workbook>
</file>

<file path=xl/calcChain.xml><?xml version="1.0" encoding="utf-8"?>
<calcChain xmlns="http://schemas.openxmlformats.org/spreadsheetml/2006/main">
  <c r="AL5" i="14" l="1"/>
  <c r="AM5" i="14"/>
  <c r="H9" i="14"/>
  <c r="I9" i="14"/>
  <c r="BH6" i="10" l="1"/>
  <c r="L4" i="8"/>
  <c r="CK9" i="14" l="1"/>
  <c r="CJ9" i="14"/>
  <c r="CF9" i="14"/>
  <c r="CE9" i="14"/>
  <c r="CA9" i="14"/>
  <c r="BZ9" i="14"/>
  <c r="BV9" i="14"/>
  <c r="BU9" i="14"/>
  <c r="BQ9" i="14"/>
  <c r="BP9" i="14"/>
  <c r="BL9" i="14"/>
  <c r="BK9" i="14"/>
  <c r="BG9" i="14"/>
  <c r="BF9" i="14"/>
  <c r="BB9" i="14"/>
  <c r="BA9" i="14"/>
  <c r="AW9" i="14"/>
  <c r="AV9" i="14"/>
  <c r="AR9" i="14"/>
  <c r="AQ9" i="14"/>
  <c r="AM9" i="14"/>
  <c r="AL9" i="14"/>
  <c r="AH9" i="14"/>
  <c r="AG9" i="14"/>
  <c r="AC9" i="14"/>
  <c r="AB9" i="14"/>
  <c r="X9" i="14"/>
  <c r="W9" i="14"/>
  <c r="S9" i="14"/>
  <c r="R9" i="14"/>
  <c r="N9" i="14"/>
  <c r="M9" i="14"/>
  <c r="D9" i="14"/>
  <c r="C9" i="14"/>
  <c r="CJ8" i="14"/>
  <c r="CI8" i="14"/>
  <c r="CE8" i="14"/>
  <c r="CD8" i="14"/>
  <c r="BZ8" i="14"/>
  <c r="BY8" i="14"/>
  <c r="BU8" i="14"/>
  <c r="BT8" i="14"/>
  <c r="BP8" i="14"/>
  <c r="BO8" i="14"/>
  <c r="BK8" i="14"/>
  <c r="BJ8" i="14"/>
  <c r="BF8" i="14"/>
  <c r="BE8" i="14"/>
  <c r="BA8" i="14"/>
  <c r="AZ8" i="14"/>
  <c r="AV8" i="14"/>
  <c r="AU8" i="14"/>
  <c r="AQ8" i="14"/>
  <c r="AP8" i="14"/>
  <c r="AL8" i="14"/>
  <c r="AK8" i="14"/>
  <c r="AG8" i="14"/>
  <c r="AF8" i="14"/>
  <c r="AB8" i="14"/>
  <c r="AA8" i="14"/>
  <c r="W8" i="14"/>
  <c r="V8" i="14"/>
  <c r="R8" i="14"/>
  <c r="Q8" i="14"/>
  <c r="M8" i="14"/>
  <c r="L8" i="14"/>
  <c r="H8" i="14"/>
  <c r="G8" i="14"/>
  <c r="C8" i="14"/>
  <c r="B8" i="14"/>
  <c r="CL7" i="14"/>
  <c r="CK7" i="14"/>
  <c r="CG7" i="14"/>
  <c r="CF7" i="14"/>
  <c r="CB7" i="14"/>
  <c r="CA7" i="14"/>
  <c r="BW7" i="14"/>
  <c r="BV7" i="14"/>
  <c r="BR7" i="14"/>
  <c r="BQ7" i="14"/>
  <c r="BM7" i="14"/>
  <c r="BL7" i="14"/>
  <c r="BH7" i="14"/>
  <c r="BG7" i="14"/>
  <c r="BC7" i="14"/>
  <c r="BB7" i="14"/>
  <c r="AX7" i="14"/>
  <c r="AW7" i="14"/>
  <c r="AS7" i="14"/>
  <c r="AR7" i="14"/>
  <c r="AN7" i="14"/>
  <c r="AM7" i="14"/>
  <c r="AI7" i="14"/>
  <c r="AH7" i="14"/>
  <c r="AD7" i="14"/>
  <c r="AC7" i="14"/>
  <c r="Y7" i="14"/>
  <c r="X7" i="14"/>
  <c r="T7" i="14"/>
  <c r="S7" i="14"/>
  <c r="O7" i="14"/>
  <c r="N7" i="14"/>
  <c r="J7" i="14"/>
  <c r="I7" i="14"/>
  <c r="E7" i="14"/>
  <c r="D7" i="14"/>
  <c r="CI6" i="14"/>
  <c r="CL6" i="14"/>
  <c r="CD6" i="14"/>
  <c r="CG6" i="14"/>
  <c r="BY6" i="14"/>
  <c r="CB6" i="14"/>
  <c r="BT6" i="14"/>
  <c r="BW6" i="14"/>
  <c r="BO6" i="14"/>
  <c r="BR6" i="14"/>
  <c r="BJ6" i="14"/>
  <c r="BM6" i="14"/>
  <c r="BE6" i="14"/>
  <c r="BH6" i="14"/>
  <c r="AZ6" i="14"/>
  <c r="BC6" i="14"/>
  <c r="AU6" i="14"/>
  <c r="AX6" i="14"/>
  <c r="AP6" i="14"/>
  <c r="AS6" i="14"/>
  <c r="AK6" i="14"/>
  <c r="AN6" i="14"/>
  <c r="AF6" i="14"/>
  <c r="AI6" i="14"/>
  <c r="AA6" i="14"/>
  <c r="AD6" i="14"/>
  <c r="V6" i="14"/>
  <c r="Y6" i="14"/>
  <c r="Q6" i="14"/>
  <c r="T6" i="14"/>
  <c r="L6" i="14"/>
  <c r="O6" i="14"/>
  <c r="G6" i="14"/>
  <c r="J6" i="14"/>
  <c r="B6" i="14"/>
  <c r="E6" i="14"/>
  <c r="CK5" i="14"/>
  <c r="CJ5" i="14"/>
  <c r="CF5" i="14"/>
  <c r="CE5" i="14"/>
  <c r="CA5" i="14"/>
  <c r="BZ5" i="14"/>
  <c r="BV5" i="14"/>
  <c r="BU5" i="14"/>
  <c r="BQ5" i="14"/>
  <c r="BP5" i="14"/>
  <c r="BL5" i="14"/>
  <c r="BK5" i="14"/>
  <c r="BG5" i="14"/>
  <c r="BF5" i="14"/>
  <c r="BB5" i="14"/>
  <c r="BA5" i="14"/>
  <c r="AW5" i="14"/>
  <c r="AV5" i="14"/>
  <c r="AR5" i="14"/>
  <c r="AQ5" i="14"/>
  <c r="AH5" i="14"/>
  <c r="AG5" i="14"/>
  <c r="AC5" i="14"/>
  <c r="AB5" i="14"/>
  <c r="X5" i="14"/>
  <c r="W5" i="14"/>
  <c r="S5" i="14"/>
  <c r="R5" i="14"/>
  <c r="N5" i="14"/>
  <c r="M5" i="14"/>
  <c r="I5" i="14"/>
  <c r="H5" i="14"/>
  <c r="D5" i="14"/>
  <c r="C5" i="14"/>
  <c r="CJ4" i="14"/>
  <c r="CI4" i="14"/>
  <c r="CE4" i="14"/>
  <c r="CD4" i="14"/>
  <c r="BZ4" i="14"/>
  <c r="BY4" i="14"/>
  <c r="BU4" i="14"/>
  <c r="BT4" i="14"/>
  <c r="BP4" i="14"/>
  <c r="BO4" i="14"/>
  <c r="BK4" i="14"/>
  <c r="BJ4" i="14"/>
  <c r="BF4" i="14"/>
  <c r="BE4" i="14"/>
  <c r="BA4" i="14"/>
  <c r="AZ4" i="14"/>
  <c r="AV4" i="14"/>
  <c r="AU4" i="14"/>
  <c r="AQ4" i="14"/>
  <c r="AP4" i="14"/>
  <c r="AL4" i="14"/>
  <c r="AK4" i="14"/>
  <c r="AG4" i="14"/>
  <c r="AF4" i="14"/>
  <c r="AB4" i="14"/>
  <c r="AA4" i="14"/>
  <c r="W4" i="14"/>
  <c r="V4" i="14"/>
  <c r="R4" i="14"/>
  <c r="Q4" i="14"/>
  <c r="M4" i="14"/>
  <c r="L4" i="14"/>
  <c r="H4" i="14"/>
  <c r="G4" i="14"/>
  <c r="C4" i="14"/>
  <c r="B4" i="14"/>
  <c r="CL3" i="14"/>
  <c r="CK3" i="14"/>
  <c r="CG3" i="14"/>
  <c r="CF3" i="14"/>
  <c r="CB3" i="14"/>
  <c r="CA3" i="14"/>
  <c r="BW3" i="14"/>
  <c r="BV3" i="14"/>
  <c r="BR3" i="14"/>
  <c r="BQ3" i="14"/>
  <c r="BM3" i="14"/>
  <c r="BL3" i="14"/>
  <c r="BH3" i="14"/>
  <c r="BG3" i="14"/>
  <c r="BC3" i="14"/>
  <c r="BB3" i="14"/>
  <c r="AX3" i="14"/>
  <c r="AW3" i="14"/>
  <c r="AS3" i="14"/>
  <c r="AR3" i="14"/>
  <c r="AN3" i="14"/>
  <c r="AM3" i="14"/>
  <c r="AI3" i="14"/>
  <c r="AH3" i="14"/>
  <c r="AD3" i="14"/>
  <c r="AC3" i="14"/>
  <c r="Y3" i="14"/>
  <c r="X3" i="14"/>
  <c r="T3" i="14"/>
  <c r="S3" i="14"/>
  <c r="O3" i="14"/>
  <c r="N3" i="14"/>
  <c r="J3" i="14"/>
  <c r="I3" i="14"/>
  <c r="E3" i="14"/>
  <c r="D3" i="14"/>
  <c r="CF9" i="13"/>
  <c r="CE9" i="13"/>
  <c r="CA9" i="13"/>
  <c r="BZ9" i="13"/>
  <c r="BV9" i="13"/>
  <c r="BU9" i="13"/>
  <c r="BQ9" i="13"/>
  <c r="BP9" i="13"/>
  <c r="BL9" i="13"/>
  <c r="BK9" i="13"/>
  <c r="BG9" i="13"/>
  <c r="BF9" i="13"/>
  <c r="BB9" i="13"/>
  <c r="BA9" i="13"/>
  <c r="AW9" i="13"/>
  <c r="AV9" i="13"/>
  <c r="AR9" i="13"/>
  <c r="AQ9" i="13"/>
  <c r="AM9" i="13"/>
  <c r="AL9" i="13"/>
  <c r="AH9" i="13"/>
  <c r="AG9" i="13"/>
  <c r="AC9" i="13"/>
  <c r="AB9" i="13"/>
  <c r="X9" i="13"/>
  <c r="W9" i="13"/>
  <c r="S9" i="13"/>
  <c r="R9" i="13"/>
  <c r="N9" i="13"/>
  <c r="M9" i="13"/>
  <c r="I9" i="13"/>
  <c r="H9" i="13"/>
  <c r="D9" i="13"/>
  <c r="C9" i="13"/>
  <c r="CE8" i="13"/>
  <c r="CD8" i="13"/>
  <c r="BZ8" i="13"/>
  <c r="BY8" i="13"/>
  <c r="BU8" i="13"/>
  <c r="BT8" i="13"/>
  <c r="BP8" i="13"/>
  <c r="BO8" i="13"/>
  <c r="BK8" i="13"/>
  <c r="BJ8" i="13"/>
  <c r="BF8" i="13"/>
  <c r="BE8" i="13"/>
  <c r="BA8" i="13"/>
  <c r="AZ8" i="13"/>
  <c r="AV8" i="13"/>
  <c r="AU8" i="13"/>
  <c r="AQ8" i="13"/>
  <c r="AP8" i="13"/>
  <c r="AL8" i="13"/>
  <c r="AK8" i="13"/>
  <c r="AG8" i="13"/>
  <c r="AF8" i="13"/>
  <c r="AB8" i="13"/>
  <c r="AA8" i="13"/>
  <c r="W8" i="13"/>
  <c r="V8" i="13"/>
  <c r="R8" i="13"/>
  <c r="Q8" i="13"/>
  <c r="M8" i="13"/>
  <c r="L8" i="13"/>
  <c r="H8" i="13"/>
  <c r="G8" i="13"/>
  <c r="C8" i="13"/>
  <c r="B8" i="13"/>
  <c r="CG7" i="13"/>
  <c r="CF7" i="13"/>
  <c r="CB7" i="13"/>
  <c r="CA7" i="13"/>
  <c r="BW7" i="13"/>
  <c r="BV7" i="13"/>
  <c r="BR7" i="13"/>
  <c r="BQ7" i="13"/>
  <c r="BM7" i="13"/>
  <c r="BL7" i="13"/>
  <c r="BH7" i="13"/>
  <c r="BG7" i="13"/>
  <c r="BC7" i="13"/>
  <c r="BB7" i="13"/>
  <c r="AX7" i="13"/>
  <c r="AW7" i="13"/>
  <c r="AS7" i="13"/>
  <c r="AR7" i="13"/>
  <c r="AN7" i="13"/>
  <c r="AM7" i="13"/>
  <c r="AI7" i="13"/>
  <c r="AH7" i="13"/>
  <c r="AD7" i="13"/>
  <c r="AC7" i="13"/>
  <c r="Y7" i="13"/>
  <c r="X7" i="13"/>
  <c r="T7" i="13"/>
  <c r="S7" i="13"/>
  <c r="O7" i="13"/>
  <c r="N7" i="13"/>
  <c r="J7" i="13"/>
  <c r="I7" i="13"/>
  <c r="E7" i="13"/>
  <c r="D7" i="13"/>
  <c r="CD6" i="13"/>
  <c r="CG6" i="13"/>
  <c r="BY6" i="13"/>
  <c r="CB6" i="13"/>
  <c r="BT6" i="13"/>
  <c r="BW6" i="13"/>
  <c r="BO6" i="13"/>
  <c r="BR6" i="13"/>
  <c r="BJ6" i="13"/>
  <c r="BM6" i="13"/>
  <c r="BE6" i="13"/>
  <c r="BH6" i="13"/>
  <c r="AZ6" i="13"/>
  <c r="BC6" i="13"/>
  <c r="AU6" i="13"/>
  <c r="AX6" i="13"/>
  <c r="AP6" i="13"/>
  <c r="AS6" i="13"/>
  <c r="AK6" i="13"/>
  <c r="AN6" i="13"/>
  <c r="AF6" i="13"/>
  <c r="AI6" i="13"/>
  <c r="AA6" i="13"/>
  <c r="AD6" i="13"/>
  <c r="V6" i="13"/>
  <c r="Y6" i="13"/>
  <c r="Q6" i="13"/>
  <c r="T6" i="13"/>
  <c r="L6" i="13"/>
  <c r="O6" i="13"/>
  <c r="G6" i="13"/>
  <c r="J6" i="13"/>
  <c r="B6" i="13"/>
  <c r="E6" i="13"/>
  <c r="CF5" i="13"/>
  <c r="CE5" i="13"/>
  <c r="CA5" i="13"/>
  <c r="BZ5" i="13"/>
  <c r="BV5" i="13"/>
  <c r="BU5" i="13"/>
  <c r="BQ5" i="13"/>
  <c r="BP5" i="13"/>
  <c r="BL5" i="13"/>
  <c r="BK5" i="13"/>
  <c r="BG5" i="13"/>
  <c r="BF5" i="13"/>
  <c r="BB5" i="13"/>
  <c r="BA5" i="13"/>
  <c r="AW5" i="13"/>
  <c r="AV5" i="13"/>
  <c r="AR5" i="13"/>
  <c r="AQ5" i="13"/>
  <c r="AM5" i="13"/>
  <c r="AL5" i="13"/>
  <c r="AH5" i="13"/>
  <c r="AG5" i="13"/>
  <c r="AC5" i="13"/>
  <c r="AB5" i="13"/>
  <c r="X5" i="13"/>
  <c r="W5" i="13"/>
  <c r="S5" i="13"/>
  <c r="R5" i="13"/>
  <c r="N5" i="13"/>
  <c r="M5" i="13"/>
  <c r="I5" i="13"/>
  <c r="H5" i="13"/>
  <c r="D5" i="13"/>
  <c r="C5" i="13"/>
  <c r="CE4" i="13"/>
  <c r="CD4" i="13"/>
  <c r="BZ4" i="13"/>
  <c r="BY4" i="13"/>
  <c r="BU4" i="13"/>
  <c r="BT4" i="13"/>
  <c r="BP4" i="13"/>
  <c r="BO4" i="13"/>
  <c r="BK4" i="13"/>
  <c r="BJ4" i="13"/>
  <c r="BF4" i="13"/>
  <c r="BE4" i="13"/>
  <c r="BA4" i="13"/>
  <c r="AZ4" i="13"/>
  <c r="AV4" i="13"/>
  <c r="AU4" i="13"/>
  <c r="AQ4" i="13"/>
  <c r="AP4" i="13"/>
  <c r="AL4" i="13"/>
  <c r="AK4" i="13"/>
  <c r="AG4" i="13"/>
  <c r="AF4" i="13"/>
  <c r="AB4" i="13"/>
  <c r="AA4" i="13"/>
  <c r="W4" i="13"/>
  <c r="V4" i="13"/>
  <c r="R4" i="13"/>
  <c r="Q4" i="13"/>
  <c r="M4" i="13"/>
  <c r="L4" i="13"/>
  <c r="H4" i="13"/>
  <c r="G4" i="13"/>
  <c r="C4" i="13"/>
  <c r="B4" i="13"/>
  <c r="CG3" i="13"/>
  <c r="CF3" i="13"/>
  <c r="CB3" i="13"/>
  <c r="CA3" i="13"/>
  <c r="BW3" i="13"/>
  <c r="BV3" i="13"/>
  <c r="BR3" i="13"/>
  <c r="BQ3" i="13"/>
  <c r="BM3" i="13"/>
  <c r="BL3" i="13"/>
  <c r="BH3" i="13"/>
  <c r="BG3" i="13"/>
  <c r="BC3" i="13"/>
  <c r="BB3" i="13"/>
  <c r="AX3" i="13"/>
  <c r="AW3" i="13"/>
  <c r="AS3" i="13"/>
  <c r="AR3" i="13"/>
  <c r="AN3" i="13"/>
  <c r="AM3" i="13"/>
  <c r="AI3" i="13"/>
  <c r="AH3" i="13"/>
  <c r="AD3" i="13"/>
  <c r="AC3" i="13"/>
  <c r="Y3" i="13"/>
  <c r="X3" i="13"/>
  <c r="T3" i="13"/>
  <c r="S3" i="13"/>
  <c r="O3" i="13"/>
  <c r="N3" i="13"/>
  <c r="J3" i="13"/>
  <c r="I3" i="13"/>
  <c r="E3" i="13"/>
  <c r="D3" i="13"/>
  <c r="CA9" i="11"/>
  <c r="BZ9" i="11"/>
  <c r="BV9" i="11"/>
  <c r="BU9" i="11"/>
  <c r="BQ9" i="11"/>
  <c r="BP9" i="11"/>
  <c r="BL9" i="11"/>
  <c r="BK9" i="11"/>
  <c r="BG9" i="11"/>
  <c r="BF9" i="11"/>
  <c r="BB9" i="11"/>
  <c r="BA9" i="11"/>
  <c r="AW9" i="11"/>
  <c r="AV9" i="11"/>
  <c r="AR9" i="11"/>
  <c r="AQ9" i="11"/>
  <c r="AM9" i="11"/>
  <c r="AL9" i="11"/>
  <c r="AH9" i="11"/>
  <c r="AG9" i="11"/>
  <c r="AC9" i="11"/>
  <c r="AB9" i="11"/>
  <c r="X9" i="11"/>
  <c r="W9" i="11"/>
  <c r="S9" i="11"/>
  <c r="R9" i="11"/>
  <c r="N9" i="11"/>
  <c r="M9" i="11"/>
  <c r="I9" i="11"/>
  <c r="H9" i="11"/>
  <c r="D9" i="11"/>
  <c r="C9" i="11"/>
  <c r="BZ8" i="11"/>
  <c r="BY8" i="11"/>
  <c r="BU8" i="11"/>
  <c r="BT8" i="11"/>
  <c r="BP8" i="11"/>
  <c r="BO8" i="11"/>
  <c r="BK8" i="11"/>
  <c r="BJ8" i="11"/>
  <c r="BF8" i="11"/>
  <c r="BE8" i="11"/>
  <c r="BA8" i="11"/>
  <c r="AZ8" i="11"/>
  <c r="AV8" i="11"/>
  <c r="AU8" i="11"/>
  <c r="AQ8" i="11"/>
  <c r="AP8" i="11"/>
  <c r="AL8" i="11"/>
  <c r="AK8" i="11"/>
  <c r="AG8" i="11"/>
  <c r="AF8" i="11"/>
  <c r="AB8" i="11"/>
  <c r="AA8" i="11"/>
  <c r="W8" i="11"/>
  <c r="V8" i="11"/>
  <c r="R8" i="11"/>
  <c r="Q8" i="11"/>
  <c r="M8" i="11"/>
  <c r="L8" i="11"/>
  <c r="H8" i="11"/>
  <c r="G8" i="11"/>
  <c r="C8" i="11"/>
  <c r="B8" i="11"/>
  <c r="CB7" i="11"/>
  <c r="CA7" i="11"/>
  <c r="BW7" i="11"/>
  <c r="BV7" i="11"/>
  <c r="BR7" i="11"/>
  <c r="BQ7" i="11"/>
  <c r="BM7" i="11"/>
  <c r="BL7" i="11"/>
  <c r="BH7" i="11"/>
  <c r="BG7" i="11"/>
  <c r="BC7" i="11"/>
  <c r="BB7" i="11"/>
  <c r="AX7" i="11"/>
  <c r="AW7" i="11"/>
  <c r="AS7" i="11"/>
  <c r="AR7" i="11"/>
  <c r="AN7" i="11"/>
  <c r="AM7" i="11"/>
  <c r="AI7" i="11"/>
  <c r="AH7" i="11"/>
  <c r="AD7" i="11"/>
  <c r="AC7" i="11"/>
  <c r="Y7" i="11"/>
  <c r="X7" i="11"/>
  <c r="T7" i="11"/>
  <c r="S7" i="11"/>
  <c r="O7" i="11"/>
  <c r="N7" i="11"/>
  <c r="J7" i="11"/>
  <c r="I7" i="11"/>
  <c r="E7" i="11"/>
  <c r="D7" i="11"/>
  <c r="BY6" i="11"/>
  <c r="CB6" i="11"/>
  <c r="BT6" i="11"/>
  <c r="BW6" i="11"/>
  <c r="BO6" i="11"/>
  <c r="BR6" i="11"/>
  <c r="BJ6" i="11"/>
  <c r="BM6" i="11"/>
  <c r="BE6" i="11"/>
  <c r="BH6" i="11"/>
  <c r="AZ6" i="11"/>
  <c r="BC6" i="11"/>
  <c r="AU6" i="11"/>
  <c r="AX6" i="11"/>
  <c r="AP6" i="11"/>
  <c r="AS6" i="11"/>
  <c r="AK6" i="11"/>
  <c r="AN6" i="11"/>
  <c r="AF6" i="11"/>
  <c r="AI6" i="11"/>
  <c r="AA6" i="11"/>
  <c r="AD6" i="11"/>
  <c r="V6" i="11"/>
  <c r="Y6" i="11"/>
  <c r="Q6" i="11"/>
  <c r="T6" i="11"/>
  <c r="L6" i="11"/>
  <c r="O6" i="11"/>
  <c r="G6" i="11"/>
  <c r="J6" i="11"/>
  <c r="B6" i="11"/>
  <c r="E6" i="11"/>
  <c r="CA5" i="11"/>
  <c r="BZ5" i="11"/>
  <c r="BV5" i="11"/>
  <c r="BU5" i="11"/>
  <c r="BQ5" i="11"/>
  <c r="BP5" i="11"/>
  <c r="BL5" i="11"/>
  <c r="BK5" i="11"/>
  <c r="BG5" i="11"/>
  <c r="BF5" i="11"/>
  <c r="BB5" i="11"/>
  <c r="BA5" i="11"/>
  <c r="AW5" i="11"/>
  <c r="AV5" i="11"/>
  <c r="AR5" i="11"/>
  <c r="AQ5" i="11"/>
  <c r="AM5" i="11"/>
  <c r="AL5" i="11"/>
  <c r="AH5" i="11"/>
  <c r="AG5" i="11"/>
  <c r="AC5" i="11"/>
  <c r="AB5" i="11"/>
  <c r="X5" i="11"/>
  <c r="W5" i="11"/>
  <c r="S5" i="11"/>
  <c r="R5" i="11"/>
  <c r="N5" i="11"/>
  <c r="M5" i="11"/>
  <c r="I5" i="11"/>
  <c r="H5" i="11"/>
  <c r="D5" i="11"/>
  <c r="C5" i="11"/>
  <c r="BZ4" i="11"/>
  <c r="BY4" i="11"/>
  <c r="BU4" i="11"/>
  <c r="BT4" i="11"/>
  <c r="BP4" i="11"/>
  <c r="BO4" i="11"/>
  <c r="BK4" i="11"/>
  <c r="BJ4" i="11"/>
  <c r="BF4" i="11"/>
  <c r="BE4" i="11"/>
  <c r="BA4" i="11"/>
  <c r="AZ4" i="11"/>
  <c r="AV4" i="11"/>
  <c r="AU4" i="11"/>
  <c r="AQ4" i="11"/>
  <c r="AP4" i="11"/>
  <c r="AL4" i="11"/>
  <c r="AK4" i="11"/>
  <c r="AG4" i="11"/>
  <c r="AF4" i="11"/>
  <c r="AB4" i="11"/>
  <c r="AA4" i="11"/>
  <c r="W4" i="11"/>
  <c r="V4" i="11"/>
  <c r="R4" i="11"/>
  <c r="Q4" i="11"/>
  <c r="M4" i="11"/>
  <c r="L4" i="11"/>
  <c r="H4" i="11"/>
  <c r="G4" i="11"/>
  <c r="C4" i="11"/>
  <c r="B4" i="11"/>
  <c r="CB3" i="11"/>
  <c r="CA3" i="11"/>
  <c r="BW3" i="11"/>
  <c r="BV3" i="11"/>
  <c r="BR3" i="11"/>
  <c r="BQ3" i="11"/>
  <c r="BM3" i="11"/>
  <c r="BL3" i="11"/>
  <c r="BH3" i="11"/>
  <c r="BG3" i="11"/>
  <c r="BC3" i="11"/>
  <c r="BB3" i="11"/>
  <c r="AX3" i="11"/>
  <c r="AW3" i="11"/>
  <c r="AS3" i="11"/>
  <c r="AR3" i="11"/>
  <c r="AN3" i="11"/>
  <c r="AM3" i="11"/>
  <c r="AI3" i="11"/>
  <c r="AH3" i="11"/>
  <c r="AD3" i="11"/>
  <c r="AC3" i="11"/>
  <c r="Y3" i="11"/>
  <c r="X3" i="11"/>
  <c r="T3" i="11"/>
  <c r="S3" i="11"/>
  <c r="O3" i="11"/>
  <c r="N3" i="11"/>
  <c r="J3" i="11"/>
  <c r="I3" i="11"/>
  <c r="E3" i="11"/>
  <c r="D3" i="11"/>
  <c r="BV9" i="12"/>
  <c r="BU9" i="12"/>
  <c r="BQ9" i="12"/>
  <c r="BP9" i="12"/>
  <c r="BL9" i="12"/>
  <c r="BK9" i="12"/>
  <c r="BG9" i="12"/>
  <c r="BF9" i="12"/>
  <c r="BB9" i="12"/>
  <c r="BA9" i="12"/>
  <c r="AW9" i="12"/>
  <c r="AV9" i="12"/>
  <c r="AR9" i="12"/>
  <c r="AQ9" i="12"/>
  <c r="AM9" i="12"/>
  <c r="AL9" i="12"/>
  <c r="AH9" i="12"/>
  <c r="AG9" i="12"/>
  <c r="AC9" i="12"/>
  <c r="AB9" i="12"/>
  <c r="X9" i="12"/>
  <c r="W9" i="12"/>
  <c r="S9" i="12"/>
  <c r="R9" i="12"/>
  <c r="N9" i="12"/>
  <c r="M9" i="12"/>
  <c r="I9" i="12"/>
  <c r="H9" i="12"/>
  <c r="D9" i="12"/>
  <c r="C9" i="12"/>
  <c r="BU8" i="12"/>
  <c r="BT8" i="12"/>
  <c r="BP8" i="12"/>
  <c r="BO8" i="12"/>
  <c r="BK8" i="12"/>
  <c r="BJ8" i="12"/>
  <c r="BF8" i="12"/>
  <c r="BE8" i="12"/>
  <c r="BA8" i="12"/>
  <c r="AZ8" i="12"/>
  <c r="AV8" i="12"/>
  <c r="AU8" i="12"/>
  <c r="AQ8" i="12"/>
  <c r="AP8" i="12"/>
  <c r="AL8" i="12"/>
  <c r="AK8" i="12"/>
  <c r="AG8" i="12"/>
  <c r="AF8" i="12"/>
  <c r="AB8" i="12"/>
  <c r="AA8" i="12"/>
  <c r="W8" i="12"/>
  <c r="V8" i="12"/>
  <c r="R8" i="12"/>
  <c r="Q8" i="12"/>
  <c r="M8" i="12"/>
  <c r="L8" i="12"/>
  <c r="H8" i="12"/>
  <c r="G8" i="12"/>
  <c r="C8" i="12"/>
  <c r="B8" i="12"/>
  <c r="BW7" i="12"/>
  <c r="BV7" i="12"/>
  <c r="BR7" i="12"/>
  <c r="BQ7" i="12"/>
  <c r="BM7" i="12"/>
  <c r="BL7" i="12"/>
  <c r="BH7" i="12"/>
  <c r="BG7" i="12"/>
  <c r="BC7" i="12"/>
  <c r="BB7" i="12"/>
  <c r="AX7" i="12"/>
  <c r="AW7" i="12"/>
  <c r="AS7" i="12"/>
  <c r="AR7" i="12"/>
  <c r="AN7" i="12"/>
  <c r="AM7" i="12"/>
  <c r="AI7" i="12"/>
  <c r="AH7" i="12"/>
  <c r="AD7" i="12"/>
  <c r="AC7" i="12"/>
  <c r="Y7" i="12"/>
  <c r="X7" i="12"/>
  <c r="T7" i="12"/>
  <c r="S7" i="12"/>
  <c r="O7" i="12"/>
  <c r="N7" i="12"/>
  <c r="J7" i="12"/>
  <c r="I7" i="12"/>
  <c r="E7" i="12"/>
  <c r="D7" i="12"/>
  <c r="BT6" i="12"/>
  <c r="BW6" i="12"/>
  <c r="BO6" i="12"/>
  <c r="BR6" i="12"/>
  <c r="BJ6" i="12"/>
  <c r="BM6" i="12"/>
  <c r="BE6" i="12"/>
  <c r="BH6" i="12"/>
  <c r="AZ6" i="12"/>
  <c r="BC6" i="12"/>
  <c r="AU6" i="12"/>
  <c r="AX6" i="12"/>
  <c r="AP6" i="12"/>
  <c r="AS6" i="12"/>
  <c r="AK6" i="12"/>
  <c r="AN6" i="12"/>
  <c r="AF6" i="12"/>
  <c r="AI6" i="12"/>
  <c r="AA6" i="12"/>
  <c r="AD6" i="12"/>
  <c r="V6" i="12"/>
  <c r="Y6" i="12"/>
  <c r="Q6" i="12"/>
  <c r="T6" i="12"/>
  <c r="L6" i="12"/>
  <c r="O6" i="12"/>
  <c r="G6" i="12"/>
  <c r="J6" i="12"/>
  <c r="B6" i="12"/>
  <c r="E6" i="12"/>
  <c r="BV5" i="12"/>
  <c r="BU5" i="12"/>
  <c r="BQ5" i="12"/>
  <c r="BP5" i="12"/>
  <c r="BL5" i="12"/>
  <c r="BK5" i="12"/>
  <c r="BG5" i="12"/>
  <c r="BF5" i="12"/>
  <c r="BB5" i="12"/>
  <c r="BA5" i="12"/>
  <c r="AW5" i="12"/>
  <c r="AV5" i="12"/>
  <c r="AR5" i="12"/>
  <c r="AQ5" i="12"/>
  <c r="AM5" i="12"/>
  <c r="AL5" i="12"/>
  <c r="AH5" i="12"/>
  <c r="AG5" i="12"/>
  <c r="AC5" i="12"/>
  <c r="AB5" i="12"/>
  <c r="X5" i="12"/>
  <c r="W5" i="12"/>
  <c r="S5" i="12"/>
  <c r="R5" i="12"/>
  <c r="N5" i="12"/>
  <c r="M5" i="12"/>
  <c r="I5" i="12"/>
  <c r="H5" i="12"/>
  <c r="D5" i="12"/>
  <c r="C5" i="12"/>
  <c r="BU4" i="12"/>
  <c r="BT4" i="12"/>
  <c r="BP4" i="12"/>
  <c r="BO4" i="12"/>
  <c r="BK4" i="12"/>
  <c r="BJ4" i="12"/>
  <c r="BF4" i="12"/>
  <c r="BE4" i="12"/>
  <c r="BA4" i="12"/>
  <c r="AZ4" i="12"/>
  <c r="AV4" i="12"/>
  <c r="AU4" i="12"/>
  <c r="AQ4" i="12"/>
  <c r="AP4" i="12"/>
  <c r="AL4" i="12"/>
  <c r="AK4" i="12"/>
  <c r="AG4" i="12"/>
  <c r="AF4" i="12"/>
  <c r="AB4" i="12"/>
  <c r="AA4" i="12"/>
  <c r="W4" i="12"/>
  <c r="V4" i="12"/>
  <c r="R4" i="12"/>
  <c r="Q4" i="12"/>
  <c r="M4" i="12"/>
  <c r="L4" i="12"/>
  <c r="H4" i="12"/>
  <c r="G4" i="12"/>
  <c r="C4" i="12"/>
  <c r="B4" i="12"/>
  <c r="BW3" i="12"/>
  <c r="BV3" i="12"/>
  <c r="BR3" i="12"/>
  <c r="BQ3" i="12"/>
  <c r="BM3" i="12"/>
  <c r="BL3" i="12"/>
  <c r="BH3" i="12"/>
  <c r="BG3" i="12"/>
  <c r="BC3" i="12"/>
  <c r="BB3" i="12"/>
  <c r="AX3" i="12"/>
  <c r="AW3" i="12"/>
  <c r="AS3" i="12"/>
  <c r="AR3" i="12"/>
  <c r="AN3" i="12"/>
  <c r="AM3" i="12"/>
  <c r="AI3" i="12"/>
  <c r="AH3" i="12"/>
  <c r="AD3" i="12"/>
  <c r="AC3" i="12"/>
  <c r="Y3" i="12"/>
  <c r="X3" i="12"/>
  <c r="T3" i="12"/>
  <c r="S3" i="12"/>
  <c r="O3" i="12"/>
  <c r="N3" i="12"/>
  <c r="J3" i="12"/>
  <c r="I3" i="12"/>
  <c r="E3" i="12"/>
  <c r="D3" i="12"/>
  <c r="BQ9" i="10"/>
  <c r="BP9" i="10"/>
  <c r="BL9" i="10"/>
  <c r="BK9" i="10"/>
  <c r="BG9" i="10"/>
  <c r="BF9" i="10"/>
  <c r="BB9" i="10"/>
  <c r="BA9" i="10"/>
  <c r="AW9" i="10"/>
  <c r="AV9" i="10"/>
  <c r="AR9" i="10"/>
  <c r="AQ9" i="10"/>
  <c r="AM9" i="10"/>
  <c r="AL9" i="10"/>
  <c r="AH9" i="10"/>
  <c r="AG9" i="10"/>
  <c r="AC9" i="10"/>
  <c r="AB9" i="10"/>
  <c r="X9" i="10"/>
  <c r="W9" i="10"/>
  <c r="S9" i="10"/>
  <c r="R9" i="10"/>
  <c r="N9" i="10"/>
  <c r="M9" i="10"/>
  <c r="I9" i="10"/>
  <c r="H9" i="10"/>
  <c r="D9" i="10"/>
  <c r="C9" i="10"/>
  <c r="BP8" i="10"/>
  <c r="BO8" i="10"/>
  <c r="BK8" i="10"/>
  <c r="BJ8" i="10"/>
  <c r="BF8" i="10"/>
  <c r="BE8" i="10"/>
  <c r="BA8" i="10"/>
  <c r="AZ8" i="10"/>
  <c r="AV8" i="10"/>
  <c r="AU8" i="10"/>
  <c r="AQ8" i="10"/>
  <c r="AP8" i="10"/>
  <c r="AL8" i="10"/>
  <c r="AK8" i="10"/>
  <c r="AG8" i="10"/>
  <c r="AF8" i="10"/>
  <c r="AB8" i="10"/>
  <c r="AA8" i="10"/>
  <c r="W8" i="10"/>
  <c r="V8" i="10"/>
  <c r="R8" i="10"/>
  <c r="Q8" i="10"/>
  <c r="M8" i="10"/>
  <c r="L8" i="10"/>
  <c r="H8" i="10"/>
  <c r="G8" i="10"/>
  <c r="C8" i="10"/>
  <c r="B8" i="10"/>
  <c r="BR7" i="10"/>
  <c r="BQ7" i="10"/>
  <c r="BM7" i="10"/>
  <c r="BL7" i="10"/>
  <c r="BH7" i="10"/>
  <c r="BG7" i="10"/>
  <c r="BC7" i="10"/>
  <c r="BB7" i="10"/>
  <c r="AX7" i="10"/>
  <c r="AW7" i="10"/>
  <c r="AS7" i="10"/>
  <c r="AR7" i="10"/>
  <c r="AN7" i="10"/>
  <c r="AM7" i="10"/>
  <c r="AI7" i="10"/>
  <c r="AH7" i="10"/>
  <c r="AD7" i="10"/>
  <c r="AC7" i="10"/>
  <c r="Y7" i="10"/>
  <c r="X7" i="10"/>
  <c r="T7" i="10"/>
  <c r="S7" i="10"/>
  <c r="O7" i="10"/>
  <c r="N7" i="10"/>
  <c r="J7" i="10"/>
  <c r="I7" i="10"/>
  <c r="E7" i="10"/>
  <c r="D7" i="10"/>
  <c r="BO6" i="10"/>
  <c r="BR6" i="10"/>
  <c r="BJ6" i="10"/>
  <c r="BM6" i="10"/>
  <c r="BE6" i="10"/>
  <c r="AZ6" i="10"/>
  <c r="BC6" i="10"/>
  <c r="AU6" i="10"/>
  <c r="AX6" i="10"/>
  <c r="AP6" i="10"/>
  <c r="AS6" i="10"/>
  <c r="AK6" i="10"/>
  <c r="AN6" i="10"/>
  <c r="AF6" i="10"/>
  <c r="AI6" i="10"/>
  <c r="AA6" i="10"/>
  <c r="AD6" i="10"/>
  <c r="V6" i="10"/>
  <c r="Y6" i="10"/>
  <c r="Q6" i="10"/>
  <c r="T6" i="10"/>
  <c r="L6" i="10"/>
  <c r="O6" i="10"/>
  <c r="G6" i="10"/>
  <c r="J6" i="10"/>
  <c r="B6" i="10"/>
  <c r="E6" i="10"/>
  <c r="BQ5" i="10"/>
  <c r="BP5" i="10"/>
  <c r="BL5" i="10"/>
  <c r="BK5" i="10"/>
  <c r="BG5" i="10"/>
  <c r="BF5" i="10"/>
  <c r="BB5" i="10"/>
  <c r="BA5" i="10"/>
  <c r="AW5" i="10"/>
  <c r="AV5" i="10"/>
  <c r="AR5" i="10"/>
  <c r="AQ5" i="10"/>
  <c r="AM5" i="10"/>
  <c r="AL5" i="10"/>
  <c r="AH5" i="10"/>
  <c r="AG5" i="10"/>
  <c r="AC5" i="10"/>
  <c r="AB5" i="10"/>
  <c r="X5" i="10"/>
  <c r="W5" i="10"/>
  <c r="S5" i="10"/>
  <c r="R5" i="10"/>
  <c r="N5" i="10"/>
  <c r="M5" i="10"/>
  <c r="I5" i="10"/>
  <c r="H5" i="10"/>
  <c r="D5" i="10"/>
  <c r="C5" i="10"/>
  <c r="BP4" i="10"/>
  <c r="BO4" i="10"/>
  <c r="BK4" i="10"/>
  <c r="BJ4" i="10"/>
  <c r="BF4" i="10"/>
  <c r="BE4" i="10"/>
  <c r="BA4" i="10"/>
  <c r="AZ4" i="10"/>
  <c r="AV4" i="10"/>
  <c r="AU4" i="10"/>
  <c r="AQ4" i="10"/>
  <c r="AP4" i="10"/>
  <c r="AL4" i="10"/>
  <c r="AK4" i="10"/>
  <c r="AG4" i="10"/>
  <c r="AF4" i="10"/>
  <c r="AB4" i="10"/>
  <c r="AA4" i="10"/>
  <c r="W4" i="10"/>
  <c r="V4" i="10"/>
  <c r="R4" i="10"/>
  <c r="Q4" i="10"/>
  <c r="M4" i="10"/>
  <c r="L4" i="10"/>
  <c r="H4" i="10"/>
  <c r="G4" i="10"/>
  <c r="C4" i="10"/>
  <c r="B4" i="10"/>
  <c r="BR3" i="10"/>
  <c r="BQ3" i="10"/>
  <c r="BM3" i="10"/>
  <c r="BL3" i="10"/>
  <c r="BH3" i="10"/>
  <c r="BG3" i="10"/>
  <c r="BC3" i="10"/>
  <c r="BB3" i="10"/>
  <c r="AX3" i="10"/>
  <c r="AW3" i="10"/>
  <c r="AS3" i="10"/>
  <c r="AR3" i="10"/>
  <c r="AN3" i="10"/>
  <c r="AM3" i="10"/>
  <c r="AI3" i="10"/>
  <c r="AH3" i="10"/>
  <c r="AD3" i="10"/>
  <c r="AC3" i="10"/>
  <c r="Y3" i="10"/>
  <c r="X3" i="10"/>
  <c r="T3" i="10"/>
  <c r="S3" i="10"/>
  <c r="O3" i="10"/>
  <c r="N3" i="10"/>
  <c r="J3" i="10"/>
  <c r="I3" i="10"/>
  <c r="E3" i="10"/>
  <c r="D3" i="10"/>
  <c r="BL9" i="6"/>
  <c r="BK9" i="6"/>
  <c r="BG9" i="6"/>
  <c r="BF9" i="6"/>
  <c r="BB9" i="6"/>
  <c r="BA9" i="6"/>
  <c r="AW9" i="6"/>
  <c r="AV9" i="6"/>
  <c r="AR9" i="6"/>
  <c r="AQ9" i="6"/>
  <c r="AM9" i="6"/>
  <c r="AL9" i="6"/>
  <c r="AH9" i="6"/>
  <c r="AG9" i="6"/>
  <c r="AC9" i="6"/>
  <c r="AB9" i="6"/>
  <c r="X9" i="6"/>
  <c r="W9" i="6"/>
  <c r="S9" i="6"/>
  <c r="R9" i="6"/>
  <c r="N9" i="6"/>
  <c r="M9" i="6"/>
  <c r="I9" i="6"/>
  <c r="H9" i="6"/>
  <c r="D9" i="6"/>
  <c r="C9" i="6"/>
  <c r="BK8" i="6"/>
  <c r="BJ8" i="6"/>
  <c r="BF8" i="6"/>
  <c r="BE8" i="6"/>
  <c r="BA8" i="6"/>
  <c r="AZ8" i="6"/>
  <c r="AV8" i="6"/>
  <c r="AU8" i="6"/>
  <c r="AQ8" i="6"/>
  <c r="AP8" i="6"/>
  <c r="AL8" i="6"/>
  <c r="AK8" i="6"/>
  <c r="AG8" i="6"/>
  <c r="AF8" i="6"/>
  <c r="AB8" i="6"/>
  <c r="AA8" i="6"/>
  <c r="W8" i="6"/>
  <c r="V8" i="6"/>
  <c r="R8" i="6"/>
  <c r="Q8" i="6"/>
  <c r="M8" i="6"/>
  <c r="L8" i="6"/>
  <c r="H8" i="6"/>
  <c r="G8" i="6"/>
  <c r="C8" i="6"/>
  <c r="B8" i="6"/>
  <c r="BM7" i="6"/>
  <c r="BL7" i="6"/>
  <c r="BH7" i="6"/>
  <c r="BG7" i="6"/>
  <c r="BC7" i="6"/>
  <c r="BB7" i="6"/>
  <c r="AX7" i="6"/>
  <c r="AW7" i="6"/>
  <c r="AS7" i="6"/>
  <c r="AR7" i="6"/>
  <c r="AN7" i="6"/>
  <c r="AM7" i="6"/>
  <c r="AI7" i="6"/>
  <c r="AH7" i="6"/>
  <c r="AD7" i="6"/>
  <c r="AC7" i="6"/>
  <c r="Y7" i="6"/>
  <c r="X7" i="6"/>
  <c r="T7" i="6"/>
  <c r="S7" i="6"/>
  <c r="O7" i="6"/>
  <c r="N7" i="6"/>
  <c r="J7" i="6"/>
  <c r="I7" i="6"/>
  <c r="E7" i="6"/>
  <c r="D7" i="6"/>
  <c r="BJ6" i="6"/>
  <c r="BM6" i="6"/>
  <c r="BE6" i="6"/>
  <c r="BH6" i="6"/>
  <c r="AZ6" i="6"/>
  <c r="BC6" i="6"/>
  <c r="AU6" i="6"/>
  <c r="AX6" i="6"/>
  <c r="AP6" i="6"/>
  <c r="AS6" i="6"/>
  <c r="AK6" i="6"/>
  <c r="AN6" i="6"/>
  <c r="AF6" i="6"/>
  <c r="AI6" i="6"/>
  <c r="AA6" i="6"/>
  <c r="AD6" i="6"/>
  <c r="V6" i="6"/>
  <c r="Y6" i="6"/>
  <c r="Q6" i="6"/>
  <c r="T6" i="6"/>
  <c r="L6" i="6"/>
  <c r="O6" i="6"/>
  <c r="G6" i="6"/>
  <c r="J6" i="6"/>
  <c r="B6" i="6"/>
  <c r="E6" i="6"/>
  <c r="BL5" i="6"/>
  <c r="BK5" i="6"/>
  <c r="BG5" i="6"/>
  <c r="BF5" i="6"/>
  <c r="BB5" i="6"/>
  <c r="BA5" i="6"/>
  <c r="AW5" i="6"/>
  <c r="AV5" i="6"/>
  <c r="AR5" i="6"/>
  <c r="AQ5" i="6"/>
  <c r="AM5" i="6"/>
  <c r="AL5" i="6"/>
  <c r="AH5" i="6"/>
  <c r="AG5" i="6"/>
  <c r="AC5" i="6"/>
  <c r="AB5" i="6"/>
  <c r="X5" i="6"/>
  <c r="W5" i="6"/>
  <c r="S5" i="6"/>
  <c r="R5" i="6"/>
  <c r="N5" i="6"/>
  <c r="M5" i="6"/>
  <c r="I5" i="6"/>
  <c r="H5" i="6"/>
  <c r="D5" i="6"/>
  <c r="C5" i="6"/>
  <c r="BK4" i="6"/>
  <c r="BJ4" i="6"/>
  <c r="BF4" i="6"/>
  <c r="BE4" i="6"/>
  <c r="BA4" i="6"/>
  <c r="AZ4" i="6"/>
  <c r="AV4" i="6"/>
  <c r="AU4" i="6"/>
  <c r="AQ4" i="6"/>
  <c r="AP4" i="6"/>
  <c r="AL4" i="6"/>
  <c r="AK4" i="6"/>
  <c r="AG4" i="6"/>
  <c r="AF4" i="6"/>
  <c r="AB4" i="6"/>
  <c r="AA4" i="6"/>
  <c r="W4" i="6"/>
  <c r="V4" i="6"/>
  <c r="R4" i="6"/>
  <c r="Q4" i="6"/>
  <c r="M4" i="6"/>
  <c r="L4" i="6"/>
  <c r="H4" i="6"/>
  <c r="G4" i="6"/>
  <c r="C4" i="6"/>
  <c r="B4" i="6"/>
  <c r="BM3" i="6"/>
  <c r="BL3" i="6"/>
  <c r="BH3" i="6"/>
  <c r="BG3" i="6"/>
  <c r="BC3" i="6"/>
  <c r="BB3" i="6"/>
  <c r="AX3" i="6"/>
  <c r="AW3" i="6"/>
  <c r="AS3" i="6"/>
  <c r="AR3" i="6"/>
  <c r="AN3" i="6"/>
  <c r="AM3" i="6"/>
  <c r="AI3" i="6"/>
  <c r="AH3" i="6"/>
  <c r="AD3" i="6"/>
  <c r="AC3" i="6"/>
  <c r="Y3" i="6"/>
  <c r="X3" i="6"/>
  <c r="T3" i="6"/>
  <c r="S3" i="6"/>
  <c r="O3" i="6"/>
  <c r="N3" i="6"/>
  <c r="J3" i="6"/>
  <c r="I3" i="6"/>
  <c r="E3" i="6"/>
  <c r="D3" i="6"/>
  <c r="BG9" i="8"/>
  <c r="BF9" i="8"/>
  <c r="BB9" i="8"/>
  <c r="BA9" i="8"/>
  <c r="AW9" i="8"/>
  <c r="AV9" i="8"/>
  <c r="AR9" i="8"/>
  <c r="AQ9" i="8"/>
  <c r="AM9" i="8"/>
  <c r="AL9" i="8"/>
  <c r="AH9" i="8"/>
  <c r="AG9" i="8"/>
  <c r="AC9" i="8"/>
  <c r="AB9" i="8"/>
  <c r="X9" i="8"/>
  <c r="W9" i="8"/>
  <c r="S9" i="8"/>
  <c r="R9" i="8"/>
  <c r="N9" i="8"/>
  <c r="M9" i="8"/>
  <c r="I9" i="8"/>
  <c r="H9" i="8"/>
  <c r="D9" i="8"/>
  <c r="C9" i="8"/>
  <c r="BF8" i="8"/>
  <c r="BE8" i="8"/>
  <c r="BA8" i="8"/>
  <c r="AZ8" i="8"/>
  <c r="AV8" i="8"/>
  <c r="AU8" i="8"/>
  <c r="AQ8" i="8"/>
  <c r="AP8" i="8"/>
  <c r="AL8" i="8"/>
  <c r="AK8" i="8"/>
  <c r="AG8" i="8"/>
  <c r="AF8" i="8"/>
  <c r="AB8" i="8"/>
  <c r="AA8" i="8"/>
  <c r="W8" i="8"/>
  <c r="V8" i="8"/>
  <c r="R8" i="8"/>
  <c r="Q8" i="8"/>
  <c r="M8" i="8"/>
  <c r="L8" i="8"/>
  <c r="H8" i="8"/>
  <c r="G8" i="8"/>
  <c r="C8" i="8"/>
  <c r="B8" i="8"/>
  <c r="BH7" i="8"/>
  <c r="BG7" i="8"/>
  <c r="BC7" i="8"/>
  <c r="BB7" i="8"/>
  <c r="AX7" i="8"/>
  <c r="AW7" i="8"/>
  <c r="AS7" i="8"/>
  <c r="AR7" i="8"/>
  <c r="AN7" i="8"/>
  <c r="AM7" i="8"/>
  <c r="AI7" i="8"/>
  <c r="AH7" i="8"/>
  <c r="AD7" i="8"/>
  <c r="AC7" i="8"/>
  <c r="Y7" i="8"/>
  <c r="X7" i="8"/>
  <c r="T7" i="8"/>
  <c r="S7" i="8"/>
  <c r="O7" i="8"/>
  <c r="N7" i="8"/>
  <c r="J7" i="8"/>
  <c r="I7" i="8"/>
  <c r="E7" i="8"/>
  <c r="D7" i="8"/>
  <c r="BE6" i="8"/>
  <c r="BH6" i="8"/>
  <c r="AZ6" i="8"/>
  <c r="BC6" i="8"/>
  <c r="AU6" i="8"/>
  <c r="AX6" i="8"/>
  <c r="AP6" i="8"/>
  <c r="AS6" i="8"/>
  <c r="AK6" i="8"/>
  <c r="AN6" i="8"/>
  <c r="AF6" i="8"/>
  <c r="AI6" i="8"/>
  <c r="AA6" i="8"/>
  <c r="AD6" i="8"/>
  <c r="V6" i="8"/>
  <c r="Y6" i="8"/>
  <c r="Q6" i="8"/>
  <c r="T6" i="8"/>
  <c r="L6" i="8"/>
  <c r="O6" i="8"/>
  <c r="G6" i="8"/>
  <c r="J6" i="8"/>
  <c r="B6" i="8"/>
  <c r="E6" i="8"/>
  <c r="BG5" i="8"/>
  <c r="BF5" i="8"/>
  <c r="BB5" i="8"/>
  <c r="BA5" i="8"/>
  <c r="AW5" i="8"/>
  <c r="AV5" i="8"/>
  <c r="AR5" i="8"/>
  <c r="AQ5" i="8"/>
  <c r="AM5" i="8"/>
  <c r="AL5" i="8"/>
  <c r="AH5" i="8"/>
  <c r="AG5" i="8"/>
  <c r="AC5" i="8"/>
  <c r="AB5" i="8"/>
  <c r="X5" i="8"/>
  <c r="W5" i="8"/>
  <c r="S5" i="8"/>
  <c r="R5" i="8"/>
  <c r="N5" i="8"/>
  <c r="M5" i="8"/>
  <c r="I5" i="8"/>
  <c r="H5" i="8"/>
  <c r="D5" i="8"/>
  <c r="C5" i="8"/>
  <c r="BF4" i="8"/>
  <c r="BE4" i="8"/>
  <c r="BA4" i="8"/>
  <c r="AZ4" i="8"/>
  <c r="AV4" i="8"/>
  <c r="AU4" i="8"/>
  <c r="AQ4" i="8"/>
  <c r="AP4" i="8"/>
  <c r="AL4" i="8"/>
  <c r="AK4" i="8"/>
  <c r="AG4" i="8"/>
  <c r="AF4" i="8"/>
  <c r="AB4" i="8"/>
  <c r="AA4" i="8"/>
  <c r="W4" i="8"/>
  <c r="V4" i="8"/>
  <c r="R4" i="8"/>
  <c r="Q4" i="8"/>
  <c r="M4" i="8"/>
  <c r="H4" i="8"/>
  <c r="G4" i="8"/>
  <c r="C4" i="8"/>
  <c r="B4" i="8"/>
  <c r="BH3" i="8"/>
  <c r="BG3" i="8"/>
  <c r="BC3" i="8"/>
  <c r="BB3" i="8"/>
  <c r="AX3" i="8"/>
  <c r="AW3" i="8"/>
  <c r="AS3" i="8"/>
  <c r="AR3" i="8"/>
  <c r="AN3" i="8"/>
  <c r="AM3" i="8"/>
  <c r="AI3" i="8"/>
  <c r="AH3" i="8"/>
  <c r="AD3" i="8"/>
  <c r="AC3" i="8"/>
  <c r="Y3" i="8"/>
  <c r="X3" i="8"/>
  <c r="T3" i="8"/>
  <c r="S3" i="8"/>
  <c r="O3" i="8"/>
  <c r="N3" i="8"/>
  <c r="J3" i="8"/>
  <c r="I3" i="8"/>
  <c r="E3" i="8"/>
  <c r="D3" i="8"/>
  <c r="BB9" i="2"/>
  <c r="BA9" i="2"/>
  <c r="AW9" i="2"/>
  <c r="AV9" i="2"/>
  <c r="AR9" i="2"/>
  <c r="AQ9" i="2"/>
  <c r="AM9" i="2"/>
  <c r="AL9" i="2"/>
  <c r="AH9" i="2"/>
  <c r="AG9" i="2"/>
  <c r="AC9" i="2"/>
  <c r="AB9" i="2"/>
  <c r="X9" i="2"/>
  <c r="W9" i="2"/>
  <c r="S9" i="2"/>
  <c r="R9" i="2"/>
  <c r="N9" i="2"/>
  <c r="M9" i="2"/>
  <c r="I9" i="2"/>
  <c r="H9" i="2"/>
  <c r="D9" i="2"/>
  <c r="C9" i="2"/>
  <c r="BA8" i="2"/>
  <c r="AZ8" i="2"/>
  <c r="AV8" i="2"/>
  <c r="AU8" i="2"/>
  <c r="AQ8" i="2"/>
  <c r="AP8" i="2"/>
  <c r="AL8" i="2"/>
  <c r="AK8" i="2"/>
  <c r="AG8" i="2"/>
  <c r="AF8" i="2"/>
  <c r="AB8" i="2"/>
  <c r="AA8" i="2"/>
  <c r="W8" i="2"/>
  <c r="V8" i="2"/>
  <c r="R8" i="2"/>
  <c r="Q8" i="2"/>
  <c r="M8" i="2"/>
  <c r="L8" i="2"/>
  <c r="H8" i="2"/>
  <c r="G8" i="2"/>
  <c r="C8" i="2"/>
  <c r="B8" i="2"/>
  <c r="BC7" i="2"/>
  <c r="BB7" i="2"/>
  <c r="AX7" i="2"/>
  <c r="AW7" i="2"/>
  <c r="AS7" i="2"/>
  <c r="AR7" i="2"/>
  <c r="AN7" i="2"/>
  <c r="AM7" i="2"/>
  <c r="AI7" i="2"/>
  <c r="AH7" i="2"/>
  <c r="AD7" i="2"/>
  <c r="AC7" i="2"/>
  <c r="Y7" i="2"/>
  <c r="X7" i="2"/>
  <c r="T7" i="2"/>
  <c r="S7" i="2"/>
  <c r="O7" i="2"/>
  <c r="N7" i="2"/>
  <c r="J7" i="2"/>
  <c r="I7" i="2"/>
  <c r="E7" i="2"/>
  <c r="D7" i="2"/>
  <c r="AZ6" i="2"/>
  <c r="BC6" i="2"/>
  <c r="AU6" i="2"/>
  <c r="AX6" i="2"/>
  <c r="AP6" i="2"/>
  <c r="AS6" i="2"/>
  <c r="AK6" i="2"/>
  <c r="AN6" i="2"/>
  <c r="AF6" i="2"/>
  <c r="AI6" i="2"/>
  <c r="AA6" i="2"/>
  <c r="AD6" i="2"/>
  <c r="V6" i="2"/>
  <c r="Y6" i="2"/>
  <c r="Q6" i="2"/>
  <c r="T6" i="2"/>
  <c r="L6" i="2"/>
  <c r="O6" i="2"/>
  <c r="G6" i="2"/>
  <c r="J6" i="2"/>
  <c r="B6" i="2"/>
  <c r="E6" i="2"/>
  <c r="BB5" i="2"/>
  <c r="BA5" i="2"/>
  <c r="AW5" i="2"/>
  <c r="AV5" i="2"/>
  <c r="AR5" i="2"/>
  <c r="AQ5" i="2"/>
  <c r="AM5" i="2"/>
  <c r="AL5" i="2"/>
  <c r="AH5" i="2"/>
  <c r="AG5" i="2"/>
  <c r="AC5" i="2"/>
  <c r="AB5" i="2"/>
  <c r="X5" i="2"/>
  <c r="W5" i="2"/>
  <c r="S5" i="2"/>
  <c r="R5" i="2"/>
  <c r="N5" i="2"/>
  <c r="M5" i="2"/>
  <c r="I5" i="2"/>
  <c r="H5" i="2"/>
  <c r="D5" i="2"/>
  <c r="C5" i="2"/>
  <c r="BA4" i="2"/>
  <c r="AZ4" i="2"/>
  <c r="AV4" i="2"/>
  <c r="AU4" i="2"/>
  <c r="AQ4" i="2"/>
  <c r="AP4" i="2"/>
  <c r="AL4" i="2"/>
  <c r="AK4" i="2"/>
  <c r="AG4" i="2"/>
  <c r="AF4" i="2"/>
  <c r="AB4" i="2"/>
  <c r="AA4" i="2"/>
  <c r="W4" i="2"/>
  <c r="V4" i="2"/>
  <c r="R4" i="2"/>
  <c r="Q4" i="2"/>
  <c r="M4" i="2"/>
  <c r="L4" i="2"/>
  <c r="H4" i="2"/>
  <c r="G4" i="2"/>
  <c r="C4" i="2"/>
  <c r="B4" i="2"/>
  <c r="BC3" i="2"/>
  <c r="BB3" i="2"/>
  <c r="AX3" i="2"/>
  <c r="AW3" i="2"/>
  <c r="AS3" i="2"/>
  <c r="AR3" i="2"/>
  <c r="AN3" i="2"/>
  <c r="AM3" i="2"/>
  <c r="AI3" i="2"/>
  <c r="AH3" i="2"/>
  <c r="AD3" i="2"/>
  <c r="AC3" i="2"/>
  <c r="Y3" i="2"/>
  <c r="X3" i="2"/>
  <c r="T3" i="2"/>
  <c r="S3" i="2"/>
  <c r="O3" i="2"/>
  <c r="N3" i="2"/>
  <c r="J3" i="2"/>
  <c r="I3" i="2"/>
  <c r="E3" i="2"/>
  <c r="D3" i="2"/>
  <c r="AW9" i="7"/>
  <c r="AV9" i="7"/>
  <c r="AR9" i="7"/>
  <c r="AQ9" i="7"/>
  <c r="AM9" i="7"/>
  <c r="AL9" i="7"/>
  <c r="AH9" i="7"/>
  <c r="AG9" i="7"/>
  <c r="AC9" i="7"/>
  <c r="AB9" i="7"/>
  <c r="X9" i="7"/>
  <c r="W9" i="7"/>
  <c r="S9" i="7"/>
  <c r="R9" i="7"/>
  <c r="N9" i="7"/>
  <c r="M9" i="7"/>
  <c r="I9" i="7"/>
  <c r="H9" i="7"/>
  <c r="D9" i="7"/>
  <c r="C9" i="7"/>
  <c r="AV8" i="7"/>
  <c r="AU8" i="7"/>
  <c r="AQ8" i="7"/>
  <c r="AP8" i="7"/>
  <c r="AL8" i="7"/>
  <c r="AK8" i="7"/>
  <c r="AG8" i="7"/>
  <c r="AF8" i="7"/>
  <c r="AB8" i="7"/>
  <c r="AA8" i="7"/>
  <c r="W8" i="7"/>
  <c r="V8" i="7"/>
  <c r="R8" i="7"/>
  <c r="Q8" i="7"/>
  <c r="M8" i="7"/>
  <c r="L8" i="7"/>
  <c r="H8" i="7"/>
  <c r="G8" i="7"/>
  <c r="C8" i="7"/>
  <c r="B8" i="7"/>
  <c r="AX7" i="7"/>
  <c r="AW7" i="7"/>
  <c r="AS7" i="7"/>
  <c r="AR7" i="7"/>
  <c r="AN7" i="7"/>
  <c r="AM7" i="7"/>
  <c r="AI7" i="7"/>
  <c r="AH7" i="7"/>
  <c r="AD7" i="7"/>
  <c r="AC7" i="7"/>
  <c r="Y7" i="7"/>
  <c r="X7" i="7"/>
  <c r="T7" i="7"/>
  <c r="S7" i="7"/>
  <c r="O7" i="7"/>
  <c r="N7" i="7"/>
  <c r="J7" i="7"/>
  <c r="I7" i="7"/>
  <c r="E7" i="7"/>
  <c r="D7" i="7"/>
  <c r="AU6" i="7"/>
  <c r="AX6" i="7"/>
  <c r="AP6" i="7"/>
  <c r="AS6" i="7"/>
  <c r="AK6" i="7"/>
  <c r="AN6" i="7"/>
  <c r="AF6" i="7"/>
  <c r="AI6" i="7"/>
  <c r="AA6" i="7"/>
  <c r="AD6" i="7"/>
  <c r="V6" i="7"/>
  <c r="Y6" i="7"/>
  <c r="Q6" i="7"/>
  <c r="T6" i="7"/>
  <c r="L6" i="7"/>
  <c r="O6" i="7"/>
  <c r="G6" i="7"/>
  <c r="J6" i="7"/>
  <c r="B6" i="7"/>
  <c r="E6" i="7"/>
  <c r="AW5" i="7"/>
  <c r="AV5" i="7"/>
  <c r="AR5" i="7"/>
  <c r="AQ5" i="7"/>
  <c r="AM5" i="7"/>
  <c r="AL5" i="7"/>
  <c r="AH5" i="7"/>
  <c r="AG5" i="7"/>
  <c r="AC5" i="7"/>
  <c r="AB5" i="7"/>
  <c r="X5" i="7"/>
  <c r="W5" i="7"/>
  <c r="S5" i="7"/>
  <c r="R5" i="7"/>
  <c r="N5" i="7"/>
  <c r="M5" i="7"/>
  <c r="I5" i="7"/>
  <c r="H5" i="7"/>
  <c r="D5" i="7"/>
  <c r="C5" i="7"/>
  <c r="AV4" i="7"/>
  <c r="AU4" i="7"/>
  <c r="AQ4" i="7"/>
  <c r="AP4" i="7"/>
  <c r="AL4" i="7"/>
  <c r="AK4" i="7"/>
  <c r="AG4" i="7"/>
  <c r="AF4" i="7"/>
  <c r="AB4" i="7"/>
  <c r="AA4" i="7"/>
  <c r="W4" i="7"/>
  <c r="V4" i="7"/>
  <c r="R4" i="7"/>
  <c r="Q4" i="7"/>
  <c r="M4" i="7"/>
  <c r="L4" i="7"/>
  <c r="H4" i="7"/>
  <c r="G4" i="7"/>
  <c r="C4" i="7"/>
  <c r="B4" i="7"/>
  <c r="AX3" i="7"/>
  <c r="AW3" i="7"/>
  <c r="AS3" i="7"/>
  <c r="AR3" i="7"/>
  <c r="AN3" i="7"/>
  <c r="AM3" i="7"/>
  <c r="AI3" i="7"/>
  <c r="AH3" i="7"/>
  <c r="AD3" i="7"/>
  <c r="AC3" i="7"/>
  <c r="Y3" i="7"/>
  <c r="X3" i="7"/>
  <c r="T3" i="7"/>
  <c r="S3" i="7"/>
  <c r="O3" i="7"/>
  <c r="N3" i="7"/>
  <c r="J3" i="7"/>
  <c r="I3" i="7"/>
  <c r="E3" i="7"/>
  <c r="D3" i="7"/>
  <c r="AR9" i="1"/>
  <c r="AQ9" i="1"/>
  <c r="AM9" i="1"/>
  <c r="AL9" i="1"/>
  <c r="AH9" i="1"/>
  <c r="AG9" i="1"/>
  <c r="AC9" i="1"/>
  <c r="AB9" i="1"/>
  <c r="X9" i="1"/>
  <c r="W9" i="1"/>
  <c r="S9" i="1"/>
  <c r="R9" i="1"/>
  <c r="N9" i="1"/>
  <c r="M9" i="1"/>
  <c r="I9" i="1"/>
  <c r="H9" i="1"/>
  <c r="D9" i="1"/>
  <c r="C9" i="1"/>
  <c r="AQ8" i="1"/>
  <c r="AP8" i="1"/>
  <c r="AL8" i="1"/>
  <c r="AK8" i="1"/>
  <c r="AG8" i="1"/>
  <c r="AF8" i="1"/>
  <c r="AB8" i="1"/>
  <c r="AA8" i="1"/>
  <c r="W8" i="1"/>
  <c r="V8" i="1"/>
  <c r="R8" i="1"/>
  <c r="Q8" i="1"/>
  <c r="M8" i="1"/>
  <c r="L8" i="1"/>
  <c r="H8" i="1"/>
  <c r="G8" i="1"/>
  <c r="C8" i="1"/>
  <c r="B8" i="1"/>
  <c r="AS7" i="1"/>
  <c r="AR7" i="1"/>
  <c r="AN7" i="1"/>
  <c r="AM7" i="1"/>
  <c r="AI7" i="1"/>
  <c r="AH7" i="1"/>
  <c r="AD7" i="1"/>
  <c r="AC7" i="1"/>
  <c r="Y7" i="1"/>
  <c r="X7" i="1"/>
  <c r="T7" i="1"/>
  <c r="S7" i="1"/>
  <c r="O7" i="1"/>
  <c r="N7" i="1"/>
  <c r="J7" i="1"/>
  <c r="I7" i="1"/>
  <c r="E7" i="1"/>
  <c r="D7" i="1"/>
  <c r="AP6" i="1"/>
  <c r="AS6" i="1"/>
  <c r="AK6" i="1"/>
  <c r="AN6" i="1"/>
  <c r="AF6" i="1"/>
  <c r="AI6" i="1"/>
  <c r="AA6" i="1"/>
  <c r="AD6" i="1"/>
  <c r="V6" i="1"/>
  <c r="Y6" i="1"/>
  <c r="Q6" i="1"/>
  <c r="T6" i="1"/>
  <c r="L6" i="1"/>
  <c r="O6" i="1"/>
  <c r="G6" i="1"/>
  <c r="J6" i="1"/>
  <c r="B6" i="1"/>
  <c r="E6" i="1"/>
  <c r="AR5" i="1"/>
  <c r="AQ5" i="1"/>
  <c r="AM5" i="1"/>
  <c r="AL5" i="1"/>
  <c r="AH5" i="1"/>
  <c r="AG5" i="1"/>
  <c r="AC5" i="1"/>
  <c r="AB5" i="1"/>
  <c r="X5" i="1"/>
  <c r="W5" i="1"/>
  <c r="S5" i="1"/>
  <c r="R5" i="1"/>
  <c r="N5" i="1"/>
  <c r="M5" i="1"/>
  <c r="I5" i="1"/>
  <c r="H5" i="1"/>
  <c r="D5" i="1"/>
  <c r="C5" i="1"/>
  <c r="AQ4" i="1"/>
  <c r="AP4" i="1"/>
  <c r="AL4" i="1"/>
  <c r="AK4" i="1"/>
  <c r="AG4" i="1"/>
  <c r="AF4" i="1"/>
  <c r="AB4" i="1"/>
  <c r="AA4" i="1"/>
  <c r="W4" i="1"/>
  <c r="V4" i="1"/>
  <c r="R4" i="1"/>
  <c r="Q4" i="1"/>
  <c r="M4" i="1"/>
  <c r="L4" i="1"/>
  <c r="H4" i="1"/>
  <c r="G4" i="1"/>
  <c r="C4" i="1"/>
  <c r="B4" i="1"/>
  <c r="AS3" i="1"/>
  <c r="AR3" i="1"/>
  <c r="AN3" i="1"/>
  <c r="AM3" i="1"/>
  <c r="AI3" i="1"/>
  <c r="AH3" i="1"/>
  <c r="AD3" i="1"/>
  <c r="AC3" i="1"/>
  <c r="Y3" i="1"/>
  <c r="X3" i="1"/>
  <c r="T3" i="1"/>
  <c r="S3" i="1"/>
  <c r="O3" i="1"/>
  <c r="N3" i="1"/>
  <c r="J3" i="1"/>
  <c r="I3" i="1"/>
  <c r="E3" i="1"/>
  <c r="D3" i="1"/>
  <c r="AM9" i="3"/>
  <c r="AL9" i="3"/>
  <c r="AH9" i="3"/>
  <c r="AG9" i="3"/>
  <c r="AC9" i="3"/>
  <c r="AB9" i="3"/>
  <c r="X9" i="3"/>
  <c r="W9" i="3"/>
  <c r="S9" i="3"/>
  <c r="R9" i="3"/>
  <c r="N9" i="3"/>
  <c r="M9" i="3"/>
  <c r="I9" i="3"/>
  <c r="H9" i="3"/>
  <c r="D9" i="3"/>
  <c r="C9" i="3"/>
  <c r="AL8" i="3"/>
  <c r="AK8" i="3"/>
  <c r="AG8" i="3"/>
  <c r="AF8" i="3"/>
  <c r="AB8" i="3"/>
  <c r="AA8" i="3"/>
  <c r="W8" i="3"/>
  <c r="V8" i="3"/>
  <c r="R8" i="3"/>
  <c r="Q8" i="3"/>
  <c r="M8" i="3"/>
  <c r="L8" i="3"/>
  <c r="H8" i="3"/>
  <c r="G8" i="3"/>
  <c r="C8" i="3"/>
  <c r="B8" i="3"/>
  <c r="AN7" i="3"/>
  <c r="AM7" i="3"/>
  <c r="AI7" i="3"/>
  <c r="AH7" i="3"/>
  <c r="AD7" i="3"/>
  <c r="AC7" i="3"/>
  <c r="Y7" i="3"/>
  <c r="X7" i="3"/>
  <c r="T7" i="3"/>
  <c r="S7" i="3"/>
  <c r="O7" i="3"/>
  <c r="N7" i="3"/>
  <c r="J7" i="3"/>
  <c r="I7" i="3"/>
  <c r="E7" i="3"/>
  <c r="D7" i="3"/>
  <c r="AK6" i="3"/>
  <c r="AN6" i="3"/>
  <c r="AF6" i="3"/>
  <c r="AI6" i="3"/>
  <c r="AA6" i="3"/>
  <c r="AD6" i="3"/>
  <c r="V6" i="3"/>
  <c r="Y6" i="3"/>
  <c r="Q6" i="3"/>
  <c r="T6" i="3"/>
  <c r="L6" i="3"/>
  <c r="O6" i="3"/>
  <c r="G6" i="3"/>
  <c r="J6" i="3"/>
  <c r="B6" i="3"/>
  <c r="E6" i="3"/>
  <c r="AM5" i="3"/>
  <c r="AL5" i="3"/>
  <c r="AH5" i="3"/>
  <c r="AG5" i="3"/>
  <c r="AC5" i="3"/>
  <c r="AB5" i="3"/>
  <c r="X5" i="3"/>
  <c r="W5" i="3"/>
  <c r="S5" i="3"/>
  <c r="R5" i="3"/>
  <c r="N5" i="3"/>
  <c r="M5" i="3"/>
  <c r="I5" i="3"/>
  <c r="H5" i="3"/>
  <c r="D5" i="3"/>
  <c r="C5" i="3"/>
  <c r="AL4" i="3"/>
  <c r="AK4" i="3"/>
  <c r="AG4" i="3"/>
  <c r="AF4" i="3"/>
  <c r="AB4" i="3"/>
  <c r="AA4" i="3"/>
  <c r="W4" i="3"/>
  <c r="V4" i="3"/>
  <c r="R4" i="3"/>
  <c r="Q4" i="3"/>
  <c r="M4" i="3"/>
  <c r="L4" i="3"/>
  <c r="H4" i="3"/>
  <c r="G4" i="3"/>
  <c r="C4" i="3"/>
  <c r="B4" i="3"/>
  <c r="AN3" i="3"/>
  <c r="AM3" i="3"/>
  <c r="AI3" i="3"/>
  <c r="AH3" i="3"/>
  <c r="AD3" i="3"/>
  <c r="AC3" i="3"/>
  <c r="Y3" i="3"/>
  <c r="X3" i="3"/>
  <c r="T3" i="3"/>
  <c r="S3" i="3"/>
  <c r="O3" i="3"/>
  <c r="N3" i="3"/>
  <c r="J3" i="3"/>
  <c r="I3" i="3"/>
  <c r="E3" i="3"/>
  <c r="D3" i="3"/>
  <c r="AH9" i="4"/>
  <c r="AG9" i="4"/>
  <c r="AC9" i="4"/>
  <c r="AB9" i="4"/>
  <c r="X9" i="4"/>
  <c r="W9" i="4"/>
  <c r="S9" i="4"/>
  <c r="R9" i="4"/>
  <c r="N9" i="4"/>
  <c r="M9" i="4"/>
  <c r="I9" i="4"/>
  <c r="H9" i="4"/>
  <c r="D9" i="4"/>
  <c r="C9" i="4"/>
  <c r="AG8" i="4"/>
  <c r="AF8" i="4"/>
  <c r="AB8" i="4"/>
  <c r="AA8" i="4"/>
  <c r="W8" i="4"/>
  <c r="V8" i="4"/>
  <c r="R8" i="4"/>
  <c r="Q8" i="4"/>
  <c r="M8" i="4"/>
  <c r="L8" i="4"/>
  <c r="H8" i="4"/>
  <c r="G8" i="4"/>
  <c r="C8" i="4"/>
  <c r="B8" i="4"/>
  <c r="AI7" i="4"/>
  <c r="AH7" i="4"/>
  <c r="AD7" i="4"/>
  <c r="AC7" i="4"/>
  <c r="Y7" i="4"/>
  <c r="X7" i="4"/>
  <c r="T7" i="4"/>
  <c r="S7" i="4"/>
  <c r="O7" i="4"/>
  <c r="N7" i="4"/>
  <c r="J7" i="4"/>
  <c r="I7" i="4"/>
  <c r="E7" i="4"/>
  <c r="D7" i="4"/>
  <c r="AF6" i="4"/>
  <c r="AI6" i="4"/>
  <c r="AA6" i="4"/>
  <c r="AD6" i="4"/>
  <c r="V6" i="4"/>
  <c r="Y6" i="4"/>
  <c r="Q6" i="4"/>
  <c r="T6" i="4"/>
  <c r="L6" i="4"/>
  <c r="O6" i="4"/>
  <c r="G6" i="4"/>
  <c r="J6" i="4"/>
  <c r="B6" i="4"/>
  <c r="E6" i="4"/>
  <c r="AH5" i="4"/>
  <c r="AG5" i="4"/>
  <c r="AC5" i="4"/>
  <c r="AB5" i="4"/>
  <c r="X5" i="4"/>
  <c r="W5" i="4"/>
  <c r="S5" i="4"/>
  <c r="R5" i="4"/>
  <c r="N5" i="4"/>
  <c r="M5" i="4"/>
  <c r="I5" i="4"/>
  <c r="H5" i="4"/>
  <c r="D5" i="4"/>
  <c r="C5" i="4"/>
  <c r="AG4" i="4"/>
  <c r="AF4" i="4"/>
  <c r="AB4" i="4"/>
  <c r="AA4" i="4"/>
  <c r="W4" i="4"/>
  <c r="V4" i="4"/>
  <c r="R4" i="4"/>
  <c r="Q4" i="4"/>
  <c r="M4" i="4"/>
  <c r="L4" i="4"/>
  <c r="H4" i="4"/>
  <c r="G4" i="4"/>
  <c r="C4" i="4"/>
  <c r="B4" i="4"/>
  <c r="AI3" i="4"/>
  <c r="AH3" i="4"/>
  <c r="AD3" i="4"/>
  <c r="AC3" i="4"/>
  <c r="Y3" i="4"/>
  <c r="X3" i="4"/>
  <c r="T3" i="4"/>
  <c r="S3" i="4"/>
  <c r="O3" i="4"/>
  <c r="N3" i="4"/>
  <c r="J3" i="4"/>
  <c r="I3" i="4"/>
  <c r="E3" i="4"/>
  <c r="D3" i="4"/>
  <c r="S7" i="5"/>
  <c r="N7" i="5"/>
  <c r="H7" i="5"/>
  <c r="E7" i="5"/>
  <c r="Y6" i="5"/>
  <c r="T6" i="5"/>
  <c r="J6" i="5"/>
  <c r="E6" i="5"/>
  <c r="V5" i="5"/>
  <c r="Q5" i="5"/>
  <c r="L5" i="5"/>
  <c r="G5" i="5"/>
  <c r="W4" i="5"/>
  <c r="M4" i="5"/>
  <c r="H4" i="5"/>
  <c r="C4" i="5"/>
  <c r="X3" i="5"/>
  <c r="S3" i="5"/>
  <c r="N3" i="5"/>
  <c r="C3" i="5"/>
</calcChain>
</file>

<file path=xl/sharedStrings.xml><?xml version="1.0" encoding="utf-8"?>
<sst xmlns="http://schemas.openxmlformats.org/spreadsheetml/2006/main" count="930" uniqueCount="29">
  <si>
    <t>R1</t>
  </si>
  <si>
    <t>R2</t>
  </si>
  <si>
    <t>R3</t>
  </si>
  <si>
    <t>R4</t>
  </si>
  <si>
    <t>R5</t>
  </si>
  <si>
    <t>R6</t>
  </si>
  <si>
    <t>R7</t>
  </si>
  <si>
    <t>Table 1</t>
  </si>
  <si>
    <t>Table 2</t>
  </si>
  <si>
    <t>Table 3</t>
  </si>
  <si>
    <t>Table 4</t>
  </si>
  <si>
    <t>Table 5</t>
  </si>
  <si>
    <t>Table 6</t>
  </si>
  <si>
    <t>Table 7</t>
  </si>
  <si>
    <t>Table 8</t>
  </si>
  <si>
    <t>Table 9</t>
  </si>
  <si>
    <t>Table 10</t>
  </si>
  <si>
    <t>Table 11</t>
  </si>
  <si>
    <t>Table 12</t>
  </si>
  <si>
    <t>Table 13</t>
  </si>
  <si>
    <t>Table 14</t>
  </si>
  <si>
    <t>Table 15</t>
  </si>
  <si>
    <t>Table 16</t>
  </si>
  <si>
    <t>Table 17</t>
  </si>
  <si>
    <t>Table 18</t>
  </si>
  <si>
    <t>East</t>
  </si>
  <si>
    <t>South</t>
  </si>
  <si>
    <t>West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</si>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</sst>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26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0" fillId="33" borderId="0" xfId="0" applyFont="1" applyFill="1"/>
    <xf numFmtId="0" fontId="20" fillId="0" borderId="0" xfId="0" applyFont="1"/>
    <xf numFmtId="0" fontId="20" fillId="33" borderId="0" xfId="29" applyFont="1" applyFill="1"/>
    <xf numFmtId="0" fontId="20" fillId="33" borderId="0" xfId="25" applyFont="1" applyFill="1"/>
    <xf numFmtId="0" fontId="20" fillId="33" borderId="0" xfId="36" applyFont="1" applyFill="1"/>
    <xf numFmtId="0" fontId="19" fillId="33" borderId="0" xfId="0" applyFont="1" applyFill="1"/>
    <xf numFmtId="0" fontId="18" fillId="0" borderId="0" xfId="0" applyFont="1" applyAlignment="1">
      <alignment horizontal="center"/>
    </xf>
    <xf numFmtId="0" fontId="16" fillId="0" borderId="0" xfId="0" applyFont="1"/>
    <xf numFmtId="0" fontId="20" fillId="0" borderId="0" xfId="29" applyFont="1" applyFill="1"/>
    <xf numFmtId="0" fontId="18" fillId="0" borderId="0" xfId="0" applyFont="1" applyAlignment="1">
      <alignment horizontal="center"/>
    </xf>
    <xf numFmtId="0" fontId="19" fillId="0" borderId="0" xfId="0" applyFont="1" applyFill="1"/>
    <xf numFmtId="0" fontId="18" fillId="0" borderId="0" xfId="0" applyFont="1" applyFill="1" applyAlignment="1">
      <alignment horizontal="center"/>
    </xf>
    <xf numFmtId="0" fontId="16" fillId="0" borderId="0" xfId="0" applyFont="1" applyFill="1"/>
    <xf numFmtId="0" fontId="0" fillId="0" borderId="0" xfId="0" applyFill="1"/>
    <xf numFmtId="0" fontId="18" fillId="0" borderId="0" xfId="0" applyFont="1" applyFill="1"/>
    <xf numFmtId="0" fontId="3" fillId="0" borderId="0" xfId="25" applyFill="1"/>
    <xf numFmtId="0" fontId="13" fillId="0" borderId="0" xfId="36" applyFill="1"/>
  </cellXfs>
  <cellStyles count="42">
    <cellStyle name="20 % - Dekorfärg1" xfId="1" builtinId="30" customBuiltin="1"/>
    <cellStyle name="20 % - Dekorfärg2" xfId="2" builtinId="34" customBuiltin="1"/>
    <cellStyle name="20 % - Dekorfärg3" xfId="3" builtinId="38" customBuiltin="1"/>
    <cellStyle name="20 % - Dekorfärg4" xfId="4" builtinId="42" customBuiltin="1"/>
    <cellStyle name="20 % - Dekorfärg5" xfId="5" builtinId="46" customBuiltin="1"/>
    <cellStyle name="20 % - Dekorfärg6" xfId="6" builtinId="50" customBuiltin="1"/>
    <cellStyle name="40 % - Dekorfärg1" xfId="7" builtinId="31" customBuiltin="1"/>
    <cellStyle name="40 % - Dekorfärg2" xfId="8" builtinId="35" customBuiltin="1"/>
    <cellStyle name="40 % - Dekorfärg3" xfId="9" builtinId="39" customBuiltin="1"/>
    <cellStyle name="40 % - Dekorfärg4" xfId="10" builtinId="43" customBuiltin="1"/>
    <cellStyle name="40 % - Dekorfärg5" xfId="11" builtinId="47" customBuiltin="1"/>
    <cellStyle name="40 % - Dekorfärg6" xfId="12" builtinId="51" customBuiltin="1"/>
    <cellStyle name="60 % - Dekorfärg1" xfId="13" builtinId="32" customBuiltin="1"/>
    <cellStyle name="60 % - Dekorfärg2" xfId="14" builtinId="36" customBuiltin="1"/>
    <cellStyle name="60 % - Dekorfärg3" xfId="15" builtinId="40" customBuiltin="1"/>
    <cellStyle name="60 % - Dekorfärg4" xfId="16" builtinId="44" customBuiltin="1"/>
    <cellStyle name="60 % - Dekorfärg5" xfId="17" builtinId="48" customBuiltin="1"/>
    <cellStyle name="60 % - Dekorfärg6" xfId="18" builtinId="52" customBuiltin="1"/>
    <cellStyle name="Anteckning" xfId="37" builtinId="10" customBuiltin="1"/>
    <cellStyle name="Beräkning" xfId="26" builtinId="22" customBuiltin="1"/>
    <cellStyle name="Bra" xfId="29" builtinId="26" customBuiltin="1"/>
    <cellStyle name="Dekorfärg1" xfId="19" builtinId="29" customBuiltin="1"/>
    <cellStyle name="Dekorfärg2" xfId="20" builtinId="33" customBuiltin="1"/>
    <cellStyle name="Dekorfärg3" xfId="21" builtinId="37" customBuiltin="1"/>
    <cellStyle name="Dekorfärg4" xfId="22" builtinId="41" customBuiltin="1"/>
    <cellStyle name="Dekorfärg5" xfId="23" builtinId="45" customBuiltin="1"/>
    <cellStyle name="Dekorfärg6" xfId="24" builtinId="49" customBuiltin="1"/>
    <cellStyle name="Dålig" xfId="25" builtinId="27" customBuiltin="1"/>
    <cellStyle name="Förklarande text" xfId="28" builtinId="53" customBuiltin="1"/>
    <cellStyle name="Indata" xfId="34" builtinId="20" customBuiltin="1"/>
    <cellStyle name="Kontrollcell" xfId="27" builtinId="23" customBuiltin="1"/>
    <cellStyle name="Länkad cell" xfId="35" builtinId="24" customBuiltin="1"/>
    <cellStyle name="Neutral" xfId="36" builtinId="28" customBuiltin="1"/>
    <cellStyle name="Normal" xfId="0" builtinId="0"/>
    <cellStyle name="Rubrik" xfId="39" builtinId="15" customBuiltin="1"/>
    <cellStyle name="Rubrik 1" xfId="30" builtinId="16" customBuiltin="1"/>
    <cellStyle name="Rubrik 2" xfId="31" builtinId="17" customBuiltin="1"/>
    <cellStyle name="Rubrik 3" xfId="32" builtinId="18" customBuiltin="1"/>
    <cellStyle name="Rubrik 4" xfId="33" builtinId="19" customBuiltin="1"/>
    <cellStyle name="Summa" xfId="40" builtinId="25" customBuiltin="1"/>
    <cellStyle name="Utdata" xfId="38" builtinId="21" customBuiltin="1"/>
    <cellStyle name="Varningstext" xfId="41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5"/>
  <sheetViews>
    <sheetView tabSelected="1" zoomScaleNormal="100" workbookViewId="0"/>
  </sheetViews>
  <sheetFormatPr defaultRowHeight="15" x14ac:dyDescent="0.25"/>
  <cols>
    <col min="1" max="1" width="3.28515625" bestFit="1" customWidth="1"/>
    <col min="2" max="2" width="4.140625" bestFit="1" customWidth="1"/>
    <col min="3" max="3" width="5.5703125" bestFit="1" customWidth="1"/>
    <col min="4" max="4" width="5.140625" bestFit="1" customWidth="1"/>
    <col min="5" max="5" width="5.7109375" bestFit="1" customWidth="1"/>
    <col min="6" max="6" width="9.140625" style="6"/>
    <col min="7" max="7" width="4.140625" bestFit="1" customWidth="1"/>
    <col min="8" max="8" width="5.5703125" bestFit="1" customWidth="1"/>
    <col min="9" max="9" width="5.140625" bestFit="1" customWidth="1"/>
    <col min="10" max="10" width="5.7109375" bestFit="1" customWidth="1"/>
    <col min="11" max="11" width="9.140625" style="6"/>
    <col min="12" max="12" width="4.140625" bestFit="1" customWidth="1"/>
    <col min="13" max="13" width="5.5703125" bestFit="1" customWidth="1"/>
    <col min="14" max="14" width="5.140625" bestFit="1" customWidth="1"/>
    <col min="15" max="15" width="5.7109375" bestFit="1" customWidth="1"/>
    <col min="16" max="16" width="9.140625" style="6"/>
    <col min="17" max="17" width="4.140625" bestFit="1" customWidth="1"/>
    <col min="18" max="18" width="5.5703125" bestFit="1" customWidth="1"/>
    <col min="19" max="19" width="5.140625" bestFit="1" customWidth="1"/>
    <col min="20" max="20" width="5.7109375" bestFit="1" customWidth="1"/>
  </cols>
  <sheetData>
    <row r="1" spans="1:25" x14ac:dyDescent="0.25">
      <c r="B1" s="18" t="s">
        <v>7</v>
      </c>
      <c r="C1" s="18"/>
      <c r="D1" s="18"/>
      <c r="E1" s="18"/>
      <c r="F1" s="8"/>
      <c r="G1" s="18" t="s">
        <v>8</v>
      </c>
      <c r="H1" s="18"/>
      <c r="I1" s="18"/>
      <c r="J1" s="18"/>
      <c r="K1" s="8"/>
      <c r="L1" s="18" t="s">
        <v>9</v>
      </c>
      <c r="M1" s="18"/>
      <c r="N1" s="18"/>
      <c r="O1" s="18"/>
      <c r="P1" s="8"/>
      <c r="Q1" s="18" t="s">
        <v>10</v>
      </c>
      <c r="R1" s="18"/>
      <c r="S1" s="18"/>
      <c r="T1" s="18"/>
      <c r="U1" s="7"/>
      <c r="V1" s="18"/>
      <c r="W1" s="18"/>
      <c r="X1" s="18"/>
      <c r="Y1" s="18"/>
    </row>
    <row r="2" spans="1:25" s="6" customFormat="1" x14ac:dyDescent="0.25">
      <c r="B2" s="8" t="s">
        <v>25</v>
      </c>
      <c r="C2" s="8" t="s">
        <v>26</v>
      </c>
      <c r="D2" s="8" t="s">
        <v>27</v>
      </c>
      <c r="E2" s="8" t="s">
        <v>28</v>
      </c>
      <c r="F2" s="8"/>
      <c r="G2" s="8" t="s">
        <v>25</v>
      </c>
      <c r="H2" s="8" t="s">
        <v>26</v>
      </c>
      <c r="I2" s="8" t="s">
        <v>27</v>
      </c>
      <c r="J2" s="8" t="s">
        <v>28</v>
      </c>
      <c r="K2" s="8"/>
      <c r="L2" s="8" t="s">
        <v>25</v>
      </c>
      <c r="M2" s="8" t="s">
        <v>26</v>
      </c>
      <c r="N2" s="8" t="s">
        <v>27</v>
      </c>
      <c r="O2" s="8" t="s">
        <v>28</v>
      </c>
      <c r="P2" s="8"/>
      <c r="Q2" s="8" t="s">
        <v>25</v>
      </c>
      <c r="R2" s="8" t="s">
        <v>26</v>
      </c>
      <c r="S2" s="8" t="s">
        <v>27</v>
      </c>
      <c r="T2" s="8" t="s">
        <v>28</v>
      </c>
      <c r="U2" s="8"/>
      <c r="V2" s="8"/>
      <c r="W2" s="8"/>
      <c r="X2" s="8"/>
      <c r="Y2" s="8"/>
    </row>
    <row r="3" spans="1:25" x14ac:dyDescent="0.25">
      <c r="A3" s="7" t="s">
        <v>0</v>
      </c>
      <c r="B3" s="9">
        <v>11</v>
      </c>
      <c r="C3" s="10">
        <v>12</v>
      </c>
      <c r="D3" s="10">
        <v>9</v>
      </c>
      <c r="E3" s="10">
        <v>10</v>
      </c>
      <c r="G3" s="11">
        <v>16</v>
      </c>
      <c r="H3" s="6">
        <v>13</v>
      </c>
      <c r="I3" s="6">
        <v>14</v>
      </c>
      <c r="J3" s="6">
        <v>15</v>
      </c>
      <c r="L3" s="9">
        <v>1</v>
      </c>
      <c r="M3" s="10">
        <v>2</v>
      </c>
      <c r="N3" s="10">
        <v>4</v>
      </c>
      <c r="O3" s="10">
        <v>3</v>
      </c>
      <c r="Q3" s="11">
        <v>6</v>
      </c>
      <c r="R3" s="10">
        <v>7</v>
      </c>
      <c r="S3" s="10">
        <v>5</v>
      </c>
      <c r="T3" s="10">
        <v>8</v>
      </c>
    </row>
    <row r="4" spans="1:25" x14ac:dyDescent="0.25">
      <c r="A4" s="7" t="s">
        <v>1</v>
      </c>
      <c r="B4" s="11">
        <v>4</v>
      </c>
      <c r="C4" s="10">
        <v>16</v>
      </c>
      <c r="D4" s="10">
        <v>12</v>
      </c>
      <c r="E4" s="10">
        <v>8</v>
      </c>
      <c r="G4" s="12">
        <v>15</v>
      </c>
      <c r="H4" s="10">
        <v>3</v>
      </c>
      <c r="I4" s="10">
        <v>7</v>
      </c>
      <c r="J4" s="10">
        <v>11</v>
      </c>
      <c r="L4" s="9">
        <v>10</v>
      </c>
      <c r="M4" s="10">
        <v>2</v>
      </c>
      <c r="N4" s="10">
        <v>6</v>
      </c>
      <c r="O4" s="10">
        <v>14</v>
      </c>
      <c r="Q4" s="9">
        <v>5</v>
      </c>
      <c r="R4" s="10">
        <v>13</v>
      </c>
      <c r="S4" s="10">
        <v>9</v>
      </c>
      <c r="T4" s="10">
        <v>1</v>
      </c>
      <c r="U4" s="6"/>
    </row>
    <row r="5" spans="1:25" x14ac:dyDescent="0.25">
      <c r="A5" s="7" t="s">
        <v>2</v>
      </c>
      <c r="B5" s="9">
        <v>11</v>
      </c>
      <c r="C5" s="10">
        <v>6</v>
      </c>
      <c r="D5" s="10">
        <v>1</v>
      </c>
      <c r="E5" s="10">
        <v>16</v>
      </c>
      <c r="G5" s="9">
        <v>7</v>
      </c>
      <c r="H5" s="10">
        <v>10</v>
      </c>
      <c r="I5" s="10">
        <v>13</v>
      </c>
      <c r="J5" s="10">
        <v>4</v>
      </c>
      <c r="L5" s="9">
        <v>3</v>
      </c>
      <c r="M5" s="10">
        <v>8</v>
      </c>
      <c r="N5" s="10">
        <v>14</v>
      </c>
      <c r="O5" s="10">
        <v>9</v>
      </c>
      <c r="Q5" s="9">
        <v>12</v>
      </c>
      <c r="R5" s="10">
        <v>15</v>
      </c>
      <c r="S5" s="10">
        <v>2</v>
      </c>
      <c r="T5" s="10">
        <v>5</v>
      </c>
    </row>
    <row r="6" spans="1:25" x14ac:dyDescent="0.25">
      <c r="A6" s="7" t="s">
        <v>3</v>
      </c>
      <c r="B6" s="12">
        <v>14</v>
      </c>
      <c r="C6" s="10">
        <v>1</v>
      </c>
      <c r="D6" s="10">
        <v>7</v>
      </c>
      <c r="E6" s="10">
        <v>12</v>
      </c>
      <c r="G6" s="9">
        <v>2</v>
      </c>
      <c r="H6" s="10">
        <v>11</v>
      </c>
      <c r="I6" s="10">
        <v>8</v>
      </c>
      <c r="J6" s="10">
        <v>13</v>
      </c>
      <c r="L6" s="9">
        <v>5</v>
      </c>
      <c r="M6" s="10">
        <v>10</v>
      </c>
      <c r="N6" s="10">
        <v>16</v>
      </c>
      <c r="O6" s="10">
        <v>3</v>
      </c>
      <c r="P6"/>
      <c r="Q6" s="11">
        <v>9</v>
      </c>
      <c r="R6" s="10">
        <v>4</v>
      </c>
      <c r="S6" s="10">
        <v>15</v>
      </c>
      <c r="T6" s="10">
        <v>6</v>
      </c>
    </row>
    <row r="7" spans="1:25" x14ac:dyDescent="0.25">
      <c r="A7" s="7" t="s">
        <v>4</v>
      </c>
      <c r="B7" s="9">
        <v>4</v>
      </c>
      <c r="C7" s="10">
        <v>5</v>
      </c>
      <c r="D7" s="10">
        <v>11</v>
      </c>
      <c r="E7" s="10">
        <v>14</v>
      </c>
      <c r="G7" s="9">
        <v>1</v>
      </c>
      <c r="H7" s="10">
        <v>8</v>
      </c>
      <c r="I7" s="10">
        <v>10</v>
      </c>
      <c r="J7" s="10">
        <v>15</v>
      </c>
      <c r="L7" s="9">
        <v>7</v>
      </c>
      <c r="M7" s="10">
        <v>16</v>
      </c>
      <c r="N7" s="10">
        <v>2</v>
      </c>
      <c r="O7" s="10">
        <v>9</v>
      </c>
      <c r="P7" s="10"/>
      <c r="Q7" s="9">
        <v>12</v>
      </c>
      <c r="R7" s="10">
        <v>6</v>
      </c>
      <c r="S7" s="10">
        <v>3</v>
      </c>
      <c r="T7" s="10">
        <v>13</v>
      </c>
    </row>
    <row r="8" spans="1:25" x14ac:dyDescent="0.25">
      <c r="A8" s="7" t="s">
        <v>5</v>
      </c>
      <c r="B8" s="9">
        <v>3</v>
      </c>
      <c r="C8" s="10">
        <v>4</v>
      </c>
      <c r="D8" s="10">
        <v>5</v>
      </c>
      <c r="E8" s="10">
        <v>6</v>
      </c>
      <c r="G8" s="9">
        <v>8</v>
      </c>
      <c r="H8" s="10">
        <v>9</v>
      </c>
      <c r="I8" s="10">
        <v>16</v>
      </c>
      <c r="J8" s="10">
        <v>7</v>
      </c>
      <c r="L8" s="12">
        <v>13</v>
      </c>
      <c r="M8" s="10">
        <v>14</v>
      </c>
      <c r="N8" s="10">
        <v>11</v>
      </c>
      <c r="O8" s="10">
        <v>12</v>
      </c>
      <c r="Q8" s="9">
        <v>2</v>
      </c>
      <c r="R8" s="10">
        <v>15</v>
      </c>
      <c r="S8" s="10">
        <v>10</v>
      </c>
      <c r="T8" s="10">
        <v>1</v>
      </c>
    </row>
    <row r="9" spans="1:25" x14ac:dyDescent="0.25">
      <c r="A9" s="7" t="s">
        <v>6</v>
      </c>
      <c r="B9" s="13">
        <v>6</v>
      </c>
      <c r="C9" s="10">
        <v>9</v>
      </c>
      <c r="D9" s="10">
        <v>13</v>
      </c>
      <c r="E9" s="10">
        <v>2</v>
      </c>
      <c r="G9" s="9">
        <v>16</v>
      </c>
      <c r="H9" s="17">
        <v>12</v>
      </c>
      <c r="I9" s="10">
        <v>1</v>
      </c>
      <c r="J9" s="10">
        <v>5</v>
      </c>
      <c r="L9" s="9">
        <v>8</v>
      </c>
      <c r="M9" s="10">
        <v>11</v>
      </c>
      <c r="N9" s="10">
        <v>15</v>
      </c>
      <c r="O9" s="10">
        <v>4</v>
      </c>
      <c r="Q9" s="9">
        <v>10</v>
      </c>
      <c r="R9" s="10">
        <v>14</v>
      </c>
      <c r="S9" s="10">
        <v>3</v>
      </c>
      <c r="T9" s="10">
        <v>7</v>
      </c>
    </row>
    <row r="11" spans="1:25" s="22" customFormat="1" x14ac:dyDescent="0.25"/>
    <row r="12" spans="1:25" s="22" customFormat="1" x14ac:dyDescent="0.25">
      <c r="V12" s="20"/>
      <c r="W12" s="20"/>
      <c r="X12" s="20"/>
      <c r="Y12" s="20"/>
    </row>
    <row r="13" spans="1:25" s="22" customFormat="1" x14ac:dyDescent="0.25">
      <c r="A13" s="21"/>
    </row>
    <row r="14" spans="1:25" s="22" customFormat="1" x14ac:dyDescent="0.25">
      <c r="A14" s="21"/>
    </row>
    <row r="15" spans="1:25" s="22" customFormat="1" x14ac:dyDescent="0.25">
      <c r="A15" s="21"/>
    </row>
    <row r="16" spans="1:25" s="22" customFormat="1" x14ac:dyDescent="0.25">
      <c r="A16" s="21"/>
    </row>
    <row r="17" spans="1:26" s="22" customFormat="1" x14ac:dyDescent="0.25">
      <c r="A17" s="21"/>
    </row>
    <row r="18" spans="1:26" s="22" customFormat="1" x14ac:dyDescent="0.25">
      <c r="A18" s="21"/>
      <c r="K18" s="24"/>
    </row>
    <row r="19" spans="1:26" s="22" customFormat="1" x14ac:dyDescent="0.25">
      <c r="A19" s="21"/>
    </row>
    <row r="20" spans="1:26" s="22" customFormat="1" x14ac:dyDescent="0.25">
      <c r="A20" s="21"/>
    </row>
    <row r="21" spans="1:26" s="22" customFormat="1" x14ac:dyDescent="0.25">
      <c r="A21" s="21"/>
    </row>
    <row r="22" spans="1:26" s="22" customFormat="1" x14ac:dyDescent="0.25">
      <c r="A22" s="21"/>
    </row>
    <row r="23" spans="1:26" s="22" customFormat="1" x14ac:dyDescent="0.25">
      <c r="A23" s="21"/>
    </row>
    <row r="24" spans="1:26" s="22" customFormat="1" x14ac:dyDescent="0.25">
      <c r="A24" s="21"/>
    </row>
    <row r="25" spans="1:26" s="22" customFormat="1" x14ac:dyDescent="0.25">
      <c r="A25" s="21"/>
    </row>
    <row r="26" spans="1:26" s="22" customFormat="1" x14ac:dyDescent="0.25">
      <c r="A26" s="21"/>
    </row>
    <row r="27" spans="1:26" s="22" customFormat="1" x14ac:dyDescent="0.25">
      <c r="A27" s="21"/>
    </row>
    <row r="28" spans="1:26" s="22" customFormat="1" x14ac:dyDescent="0.25">
      <c r="A28" s="21"/>
    </row>
    <row r="29" spans="1:26" s="22" customFormat="1" x14ac:dyDescent="0.25"/>
    <row r="30" spans="1:26" s="22" customFormat="1" x14ac:dyDescent="0.25">
      <c r="F30" s="19"/>
      <c r="K30" s="19"/>
      <c r="P30" s="19"/>
      <c r="U30" s="19"/>
      <c r="V30" s="19"/>
      <c r="W30" s="19"/>
      <c r="X30" s="19"/>
      <c r="Y30" s="19"/>
      <c r="Z30" s="19"/>
    </row>
    <row r="31" spans="1:26" s="22" customFormat="1" x14ac:dyDescent="0.25">
      <c r="F31" s="19"/>
      <c r="K31" s="19"/>
      <c r="P31" s="19"/>
      <c r="U31" s="19"/>
      <c r="V31" s="19"/>
      <c r="W31" s="19"/>
      <c r="X31" s="19"/>
      <c r="Y31" s="19"/>
      <c r="Z31" s="19"/>
    </row>
    <row r="32" spans="1:26" s="22" customFormat="1" x14ac:dyDescent="0.25"/>
    <row r="33" spans="1:17" s="22" customFormat="1" x14ac:dyDescent="0.25"/>
    <row r="34" spans="1:17" s="22" customFormat="1" x14ac:dyDescent="0.25"/>
    <row r="35" spans="1:17" s="22" customFormat="1" x14ac:dyDescent="0.25"/>
    <row r="36" spans="1:17" s="22" customFormat="1" x14ac:dyDescent="0.25"/>
    <row r="37" spans="1:17" s="22" customFormat="1" x14ac:dyDescent="0.25"/>
    <row r="38" spans="1:17" s="22" customFormat="1" x14ac:dyDescent="0.25"/>
    <row r="39" spans="1:17" s="22" customFormat="1" x14ac:dyDescent="0.25"/>
    <row r="40" spans="1:17" s="22" customFormat="1" x14ac:dyDescent="0.25"/>
    <row r="41" spans="1:17" s="22" customFormat="1" x14ac:dyDescent="0.25"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</row>
    <row r="42" spans="1:17" s="22" customFormat="1" x14ac:dyDescent="0.25">
      <c r="A42" s="21"/>
    </row>
    <row r="43" spans="1:17" s="22" customFormat="1" x14ac:dyDescent="0.25">
      <c r="A43" s="21"/>
    </row>
    <row r="44" spans="1:17" s="22" customFormat="1" x14ac:dyDescent="0.25">
      <c r="A44" s="21"/>
    </row>
    <row r="45" spans="1:17" s="22" customFormat="1" x14ac:dyDescent="0.25">
      <c r="A45" s="21"/>
    </row>
    <row r="46" spans="1:17" s="22" customFormat="1" x14ac:dyDescent="0.25">
      <c r="A46" s="21"/>
    </row>
    <row r="47" spans="1:17" s="22" customFormat="1" x14ac:dyDescent="0.25">
      <c r="A47" s="21"/>
    </row>
    <row r="48" spans="1:17" s="22" customFormat="1" x14ac:dyDescent="0.25">
      <c r="A48" s="21"/>
    </row>
    <row r="49" spans="1:1" s="22" customFormat="1" x14ac:dyDescent="0.25">
      <c r="A49" s="21"/>
    </row>
    <row r="50" spans="1:1" s="22" customFormat="1" x14ac:dyDescent="0.25"/>
    <row r="51" spans="1:1" s="22" customFormat="1" x14ac:dyDescent="0.25"/>
    <row r="52" spans="1:1" s="22" customFormat="1" x14ac:dyDescent="0.25"/>
    <row r="53" spans="1:1" s="22" customFormat="1" x14ac:dyDescent="0.25"/>
    <row r="54" spans="1:1" s="22" customFormat="1" x14ac:dyDescent="0.25"/>
    <row r="55" spans="1:1" s="22" customFormat="1" x14ac:dyDescent="0.25"/>
  </sheetData>
  <mergeCells count="5">
    <mergeCell ref="B1:E1"/>
    <mergeCell ref="G1:J1"/>
    <mergeCell ref="L1:O1"/>
    <mergeCell ref="Q1:T1"/>
    <mergeCell ref="V1:Y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D79"/>
  <sheetViews>
    <sheetView zoomScaleNormal="100" workbookViewId="0"/>
  </sheetViews>
  <sheetFormatPr defaultColWidth="9.140625" defaultRowHeight="12.75" x14ac:dyDescent="0.2"/>
  <cols>
    <col min="1" max="1" width="3" style="2" bestFit="1" customWidth="1"/>
    <col min="2" max="2" width="4.140625" style="2" customWidth="1"/>
    <col min="3" max="3" width="5.5703125" style="2" bestFit="1" customWidth="1"/>
    <col min="4" max="4" width="5.140625" style="2" bestFit="1" customWidth="1"/>
    <col min="5" max="5" width="5.7109375" style="2" bestFit="1" customWidth="1"/>
    <col min="6" max="6" width="5.7109375" style="2" customWidth="1"/>
    <col min="7" max="7" width="4.140625" style="2" customWidth="1"/>
    <col min="8" max="8" width="5.5703125" style="2" bestFit="1" customWidth="1"/>
    <col min="9" max="9" width="5.140625" style="2" bestFit="1" customWidth="1"/>
    <col min="10" max="10" width="5.7109375" style="2" bestFit="1" customWidth="1"/>
    <col min="11" max="11" width="5.7109375" style="2" customWidth="1"/>
    <col min="12" max="12" width="4.140625" style="2" customWidth="1"/>
    <col min="13" max="13" width="5.5703125" style="2" bestFit="1" customWidth="1"/>
    <col min="14" max="14" width="5.140625" style="2" bestFit="1" customWidth="1"/>
    <col min="15" max="15" width="5.7109375" style="2" bestFit="1" customWidth="1"/>
    <col min="16" max="16" width="5.7109375" style="2" customWidth="1"/>
    <col min="17" max="17" width="4.140625" style="2" customWidth="1"/>
    <col min="18" max="18" width="5.5703125" style="2" bestFit="1" customWidth="1"/>
    <col min="19" max="19" width="5.140625" style="2" bestFit="1" customWidth="1"/>
    <col min="20" max="20" width="5.7109375" style="2" bestFit="1" customWidth="1"/>
    <col min="21" max="21" width="5.7109375" style="2" customWidth="1"/>
    <col min="22" max="22" width="4.140625" style="2" customWidth="1"/>
    <col min="23" max="23" width="5.5703125" style="2" bestFit="1" customWidth="1"/>
    <col min="24" max="24" width="5.140625" style="2" bestFit="1" customWidth="1"/>
    <col min="25" max="25" width="5.7109375" style="2" bestFit="1" customWidth="1"/>
    <col min="26" max="16384" width="9.140625" style="2"/>
  </cols>
  <sheetData>
    <row r="1" spans="1:30" s="1" customFormat="1" x14ac:dyDescent="0.2">
      <c r="B1" s="18" t="s">
        <v>7</v>
      </c>
      <c r="C1" s="18"/>
      <c r="D1" s="18"/>
      <c r="E1" s="18"/>
      <c r="F1" s="8"/>
      <c r="G1" s="18" t="s">
        <v>8</v>
      </c>
      <c r="H1" s="18"/>
      <c r="I1" s="18"/>
      <c r="J1" s="18"/>
      <c r="K1" s="8"/>
      <c r="L1" s="18" t="s">
        <v>9</v>
      </c>
      <c r="M1" s="18"/>
      <c r="N1" s="18"/>
      <c r="O1" s="18"/>
      <c r="P1" s="8"/>
      <c r="Q1" s="18" t="s">
        <v>10</v>
      </c>
      <c r="R1" s="18"/>
      <c r="S1" s="18"/>
      <c r="T1" s="18"/>
      <c r="U1" s="8"/>
      <c r="V1" s="18" t="s">
        <v>11</v>
      </c>
      <c r="W1" s="18"/>
      <c r="X1" s="18"/>
      <c r="Y1" s="18"/>
    </row>
    <row r="2" spans="1:30" s="8" customFormat="1" x14ac:dyDescent="0.2">
      <c r="B2" s="8" t="s">
        <v>25</v>
      </c>
      <c r="C2" s="8" t="s">
        <v>26</v>
      </c>
      <c r="D2" s="8" t="s">
        <v>27</v>
      </c>
      <c r="E2" s="8" t="s">
        <v>28</v>
      </c>
      <c r="G2" s="8" t="s">
        <v>25</v>
      </c>
      <c r="H2" s="8" t="s">
        <v>26</v>
      </c>
      <c r="I2" s="8" t="s">
        <v>27</v>
      </c>
      <c r="J2" s="8" t="s">
        <v>28</v>
      </c>
      <c r="L2" s="8" t="s">
        <v>25</v>
      </c>
      <c r="M2" s="8" t="s">
        <v>26</v>
      </c>
      <c r="N2" s="8" t="s">
        <v>27</v>
      </c>
      <c r="O2" s="8" t="s">
        <v>28</v>
      </c>
      <c r="Q2" s="8" t="s">
        <v>25</v>
      </c>
      <c r="R2" s="8" t="s">
        <v>26</v>
      </c>
      <c r="S2" s="8" t="s">
        <v>27</v>
      </c>
      <c r="T2" s="8" t="s">
        <v>28</v>
      </c>
      <c r="V2" s="8" t="s">
        <v>25</v>
      </c>
      <c r="W2" s="8" t="s">
        <v>26</v>
      </c>
      <c r="X2" s="8" t="s">
        <v>27</v>
      </c>
      <c r="Y2" s="8" t="s">
        <v>28</v>
      </c>
    </row>
    <row r="3" spans="1:30" ht="15" x14ac:dyDescent="0.25">
      <c r="A3" s="1" t="s">
        <v>0</v>
      </c>
      <c r="B3" s="14">
        <v>1</v>
      </c>
      <c r="C3" s="2">
        <f>10+1</f>
        <v>11</v>
      </c>
      <c r="D3" s="2">
        <v>16</v>
      </c>
      <c r="E3" s="2">
        <v>6</v>
      </c>
      <c r="G3" s="14">
        <v>5</v>
      </c>
      <c r="H3" s="2">
        <v>10</v>
      </c>
      <c r="I3" s="2">
        <v>15</v>
      </c>
      <c r="J3" s="2">
        <v>20</v>
      </c>
      <c r="L3" s="14">
        <v>4</v>
      </c>
      <c r="M3" s="2">
        <v>9</v>
      </c>
      <c r="N3" s="2">
        <f>10+4</f>
        <v>14</v>
      </c>
      <c r="O3" s="2">
        <v>19</v>
      </c>
      <c r="Q3" s="14">
        <v>18</v>
      </c>
      <c r="R3" s="6">
        <v>3</v>
      </c>
      <c r="S3" s="2">
        <f>10+3</f>
        <v>13</v>
      </c>
      <c r="T3" s="6">
        <v>8</v>
      </c>
      <c r="V3" s="14">
        <v>2</v>
      </c>
      <c r="W3" s="2">
        <v>17</v>
      </c>
      <c r="X3" s="2">
        <f>10+2</f>
        <v>12</v>
      </c>
      <c r="Y3" s="2">
        <v>7</v>
      </c>
    </row>
    <row r="4" spans="1:30" x14ac:dyDescent="0.2">
      <c r="A4" s="1" t="s">
        <v>1</v>
      </c>
      <c r="B4" s="14">
        <v>9</v>
      </c>
      <c r="C4" s="2">
        <f>10+3</f>
        <v>13</v>
      </c>
      <c r="D4" s="2">
        <v>17</v>
      </c>
      <c r="E4" s="2">
        <v>5</v>
      </c>
      <c r="G4" s="14">
        <v>8</v>
      </c>
      <c r="H4" s="2">
        <f>10+2</f>
        <v>12</v>
      </c>
      <c r="I4" s="2">
        <v>16</v>
      </c>
      <c r="J4" s="2">
        <v>4</v>
      </c>
      <c r="L4" s="14">
        <v>7</v>
      </c>
      <c r="M4" s="2">
        <f>10+1</f>
        <v>11</v>
      </c>
      <c r="N4" s="2">
        <v>20</v>
      </c>
      <c r="O4" s="2">
        <v>3</v>
      </c>
      <c r="Q4" s="14">
        <v>6</v>
      </c>
      <c r="R4" s="2">
        <v>15</v>
      </c>
      <c r="S4" s="2">
        <v>19</v>
      </c>
      <c r="T4" s="2">
        <v>2</v>
      </c>
      <c r="V4" s="14">
        <v>10</v>
      </c>
      <c r="W4" s="2">
        <f>10+4</f>
        <v>14</v>
      </c>
      <c r="X4" s="2">
        <v>18</v>
      </c>
      <c r="Y4" s="2">
        <v>1</v>
      </c>
    </row>
    <row r="5" spans="1:30" x14ac:dyDescent="0.2">
      <c r="A5" s="1" t="s">
        <v>2</v>
      </c>
      <c r="B5" s="14">
        <v>15</v>
      </c>
      <c r="C5" s="2">
        <v>18</v>
      </c>
      <c r="D5" s="2">
        <v>4</v>
      </c>
      <c r="E5" s="2">
        <v>7</v>
      </c>
      <c r="G5" s="14">
        <f>10+4</f>
        <v>14</v>
      </c>
      <c r="H5" s="2">
        <v>17</v>
      </c>
      <c r="I5" s="2">
        <v>3</v>
      </c>
      <c r="J5" s="2">
        <v>6</v>
      </c>
      <c r="L5" s="14">
        <f>10+3</f>
        <v>13</v>
      </c>
      <c r="M5" s="2">
        <v>16</v>
      </c>
      <c r="N5" s="2">
        <v>2</v>
      </c>
      <c r="O5" s="2">
        <v>10</v>
      </c>
      <c r="Q5" s="14">
        <f>10+2</f>
        <v>12</v>
      </c>
      <c r="R5" s="2">
        <v>20</v>
      </c>
      <c r="S5" s="2">
        <v>1</v>
      </c>
      <c r="T5" s="2">
        <v>9</v>
      </c>
      <c r="V5" s="14">
        <f>10+1</f>
        <v>11</v>
      </c>
      <c r="W5" s="2">
        <v>19</v>
      </c>
      <c r="X5" s="2">
        <v>5</v>
      </c>
      <c r="Y5" s="2">
        <v>8</v>
      </c>
    </row>
    <row r="6" spans="1:30" x14ac:dyDescent="0.2">
      <c r="A6" s="1" t="s">
        <v>3</v>
      </c>
      <c r="B6" s="14">
        <v>19</v>
      </c>
      <c r="C6" s="2">
        <v>3</v>
      </c>
      <c r="D6" s="2">
        <v>10</v>
      </c>
      <c r="E6" s="2">
        <f>10+2</f>
        <v>12</v>
      </c>
      <c r="G6" s="14">
        <v>18</v>
      </c>
      <c r="H6" s="2">
        <v>2</v>
      </c>
      <c r="I6" s="2">
        <v>9</v>
      </c>
      <c r="J6" s="2">
        <f>10+1</f>
        <v>11</v>
      </c>
      <c r="L6" s="14">
        <v>17</v>
      </c>
      <c r="M6" s="2">
        <v>1</v>
      </c>
      <c r="N6" s="2">
        <v>8</v>
      </c>
      <c r="O6" s="2">
        <v>15</v>
      </c>
      <c r="Q6" s="14">
        <v>16</v>
      </c>
      <c r="R6" s="2">
        <v>5</v>
      </c>
      <c r="S6" s="2">
        <v>7</v>
      </c>
      <c r="T6" s="2">
        <f>10+4</f>
        <v>14</v>
      </c>
      <c r="V6" s="14">
        <v>20</v>
      </c>
      <c r="W6" s="2">
        <v>4</v>
      </c>
      <c r="X6" s="2">
        <v>6</v>
      </c>
      <c r="Y6" s="2">
        <f>10+3</f>
        <v>13</v>
      </c>
    </row>
    <row r="7" spans="1:30" ht="15" x14ac:dyDescent="0.25">
      <c r="A7" s="1" t="s">
        <v>4</v>
      </c>
      <c r="B7" s="14">
        <v>2</v>
      </c>
      <c r="C7" s="2">
        <v>8</v>
      </c>
      <c r="D7" s="2">
        <v>20</v>
      </c>
      <c r="E7" s="2">
        <f>10+4</f>
        <v>14</v>
      </c>
      <c r="G7" s="14">
        <v>7</v>
      </c>
      <c r="H7" s="2">
        <f>10+3</f>
        <v>13</v>
      </c>
      <c r="I7" s="6">
        <v>1</v>
      </c>
      <c r="J7" s="2">
        <v>19</v>
      </c>
      <c r="L7" s="14">
        <v>5</v>
      </c>
      <c r="M7" s="2">
        <v>6</v>
      </c>
      <c r="N7" s="2">
        <f>10+2</f>
        <v>12</v>
      </c>
      <c r="O7" s="2">
        <v>18</v>
      </c>
      <c r="Q7" s="14">
        <v>4</v>
      </c>
      <c r="R7" s="2">
        <v>10</v>
      </c>
      <c r="S7" s="2">
        <f>10+1</f>
        <v>11</v>
      </c>
      <c r="T7" s="2">
        <v>17</v>
      </c>
      <c r="V7" s="14">
        <v>3</v>
      </c>
      <c r="W7" s="2">
        <v>9</v>
      </c>
      <c r="X7" s="2">
        <v>15</v>
      </c>
      <c r="Y7" s="2">
        <v>16</v>
      </c>
    </row>
    <row r="8" spans="1:30" ht="15" x14ac:dyDescent="0.25">
      <c r="A8" s="7" t="s">
        <v>5</v>
      </c>
      <c r="B8" s="14">
        <v>1</v>
      </c>
      <c r="C8" s="2">
        <v>2</v>
      </c>
      <c r="D8" s="2">
        <v>3</v>
      </c>
      <c r="E8" s="2">
        <v>18</v>
      </c>
      <c r="G8" s="14">
        <v>20</v>
      </c>
      <c r="H8" s="2">
        <v>8</v>
      </c>
      <c r="I8" s="2">
        <v>17</v>
      </c>
      <c r="J8" s="2">
        <v>5</v>
      </c>
      <c r="L8" s="14">
        <v>14</v>
      </c>
      <c r="M8" s="2">
        <v>6</v>
      </c>
      <c r="N8" s="2">
        <v>9</v>
      </c>
      <c r="O8" s="2">
        <v>15</v>
      </c>
      <c r="Q8" s="14">
        <v>16</v>
      </c>
      <c r="R8" s="2">
        <v>19</v>
      </c>
      <c r="S8" s="2">
        <v>7</v>
      </c>
      <c r="T8" s="2">
        <v>10</v>
      </c>
      <c r="V8" s="14">
        <v>12</v>
      </c>
      <c r="W8" s="2">
        <v>4</v>
      </c>
      <c r="X8" s="2">
        <v>13</v>
      </c>
      <c r="Y8" s="6">
        <v>11</v>
      </c>
    </row>
    <row r="9" spans="1:30" ht="15" x14ac:dyDescent="0.25">
      <c r="A9" s="7" t="s">
        <v>6</v>
      </c>
      <c r="B9" s="14">
        <v>6</v>
      </c>
      <c r="C9" s="2">
        <v>7</v>
      </c>
      <c r="D9" s="2">
        <v>8</v>
      </c>
      <c r="E9" s="2">
        <v>13</v>
      </c>
      <c r="G9" s="14">
        <v>3</v>
      </c>
      <c r="H9" s="2">
        <v>12</v>
      </c>
      <c r="I9" s="2">
        <v>10</v>
      </c>
      <c r="J9" s="2">
        <v>9</v>
      </c>
      <c r="L9" s="14">
        <v>19</v>
      </c>
      <c r="M9" s="2">
        <v>1</v>
      </c>
      <c r="N9" s="2">
        <v>4</v>
      </c>
      <c r="O9" s="2">
        <v>20</v>
      </c>
      <c r="Q9" s="14">
        <v>11</v>
      </c>
      <c r="R9" s="2">
        <v>14</v>
      </c>
      <c r="S9" s="2">
        <v>5</v>
      </c>
      <c r="T9" s="2">
        <v>2</v>
      </c>
      <c r="V9" s="14">
        <v>15</v>
      </c>
      <c r="W9" s="6">
        <v>16</v>
      </c>
      <c r="X9" s="2">
        <v>18</v>
      </c>
      <c r="Y9" s="2">
        <v>17</v>
      </c>
    </row>
    <row r="12" spans="1:30" s="19" customFormat="1" x14ac:dyDescent="0.2">
      <c r="AA12" s="20"/>
      <c r="AB12" s="20"/>
      <c r="AC12" s="20"/>
      <c r="AD12" s="20"/>
    </row>
    <row r="13" spans="1:30" s="19" customFormat="1" ht="15" x14ac:dyDescent="0.25">
      <c r="A13" s="21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0" s="19" customFormat="1" ht="15" x14ac:dyDescent="0.25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spans="1:30" s="19" customFormat="1" ht="15" x14ac:dyDescent="0.25">
      <c r="A15" s="21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30" s="19" customFormat="1" ht="15" x14ac:dyDescent="0.25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 s="19" customFormat="1" ht="15" x14ac:dyDescent="0.25">
      <c r="A17" s="21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 s="19" customFormat="1" ht="15" x14ac:dyDescent="0.25">
      <c r="A18" s="21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 s="19" customFormat="1" ht="15" x14ac:dyDescent="0.25">
      <c r="A19" s="2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spans="1:30" s="19" customFormat="1" ht="15" x14ac:dyDescent="0.25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s="19" customFormat="1" ht="15" x14ac:dyDescent="0.25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spans="1:30" s="19" customFormat="1" ht="15" x14ac:dyDescent="0.25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</row>
    <row r="23" spans="1:30" s="19" customFormat="1" ht="15" x14ac:dyDescent="0.25">
      <c r="A23" s="21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</row>
    <row r="24" spans="1:30" s="19" customFormat="1" ht="15" x14ac:dyDescent="0.25">
      <c r="A24" s="21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</row>
    <row r="25" spans="1:30" s="19" customFormat="1" ht="15" x14ac:dyDescent="0.25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 spans="1:30" s="19" customFormat="1" ht="15" x14ac:dyDescent="0.25">
      <c r="A26" s="21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 spans="1:30" s="19" customFormat="1" ht="15" x14ac:dyDescent="0.25">
      <c r="A27" s="21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spans="1:30" s="19" customFormat="1" ht="15" x14ac:dyDescent="0.25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 spans="1:30" s="19" customFormat="1" ht="15" x14ac:dyDescent="0.25">
      <c r="A29" s="21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 spans="1:30" s="19" customFormat="1" ht="15" x14ac:dyDescent="0.25">
      <c r="A30" s="21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 spans="1:30" s="19" customFormat="1" ht="15" x14ac:dyDescent="0.25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 spans="1:30" s="19" customFormat="1" ht="15" x14ac:dyDescent="0.25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 spans="1:26" s="19" customFormat="1" x14ac:dyDescent="0.2"/>
    <row r="34" spans="1:26" s="19" customFormat="1" x14ac:dyDescent="0.2"/>
    <row r="35" spans="1:26" s="19" customFormat="1" x14ac:dyDescent="0.2"/>
    <row r="36" spans="1:26" s="19" customFormat="1" x14ac:dyDescent="0.2"/>
    <row r="37" spans="1:26" s="19" customFormat="1" x14ac:dyDescent="0.2"/>
    <row r="38" spans="1:26" s="19" customFormat="1" x14ac:dyDescent="0.2"/>
    <row r="39" spans="1:26" s="19" customFormat="1" x14ac:dyDescent="0.2"/>
    <row r="40" spans="1:26" s="19" customFormat="1" x14ac:dyDescent="0.2"/>
    <row r="41" spans="1:26" s="19" customFormat="1" ht="15" x14ac:dyDescent="0.25">
      <c r="A41" s="22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2"/>
      <c r="W41" s="22"/>
      <c r="X41" s="22"/>
      <c r="Y41" s="22"/>
      <c r="Z41" s="22"/>
    </row>
    <row r="42" spans="1:26" s="19" customFormat="1" ht="15" x14ac:dyDescent="0.25">
      <c r="A42" s="21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s="19" customFormat="1" ht="15" x14ac:dyDescent="0.25">
      <c r="A43" s="21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s="19" customFormat="1" ht="15" x14ac:dyDescent="0.25">
      <c r="A44" s="21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s="19" customFormat="1" ht="15" x14ac:dyDescent="0.25">
      <c r="A45" s="21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s="19" customFormat="1" ht="15" x14ac:dyDescent="0.25">
      <c r="A46" s="21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s="19" customFormat="1" ht="15" x14ac:dyDescent="0.25">
      <c r="A47" s="21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s="19" customFormat="1" ht="15" x14ac:dyDescent="0.25">
      <c r="A48" s="21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s="19" customFormat="1" ht="15" x14ac:dyDescent="0.25">
      <c r="A49" s="21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s="19" customFormat="1" ht="15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s="19" customFormat="1" x14ac:dyDescent="0.2"/>
    <row r="52" spans="1:26" s="19" customFormat="1" ht="15" x14ac:dyDescent="0.25">
      <c r="A52" s="23"/>
      <c r="B52" s="24"/>
      <c r="C52" s="24"/>
      <c r="D52" s="24"/>
      <c r="E52" s="24"/>
      <c r="F52" s="24"/>
      <c r="G52" s="25"/>
      <c r="K52" s="25"/>
      <c r="M52" s="25"/>
      <c r="P52" s="25"/>
      <c r="R52" s="25"/>
      <c r="T52" s="25"/>
    </row>
    <row r="53" spans="1:26" s="19" customFormat="1" x14ac:dyDescent="0.2">
      <c r="A53" s="23"/>
    </row>
    <row r="54" spans="1:26" s="19" customFormat="1" x14ac:dyDescent="0.2">
      <c r="A54" s="23"/>
    </row>
    <row r="55" spans="1:26" s="19" customFormat="1" x14ac:dyDescent="0.2">
      <c r="A55" s="23"/>
    </row>
    <row r="56" spans="1:26" s="19" customFormat="1" x14ac:dyDescent="0.2">
      <c r="A56" s="23"/>
    </row>
    <row r="57" spans="1:26" s="19" customFormat="1" x14ac:dyDescent="0.2">
      <c r="A57" s="23"/>
    </row>
    <row r="58" spans="1:26" s="19" customFormat="1" x14ac:dyDescent="0.2">
      <c r="A58" s="23"/>
    </row>
    <row r="59" spans="1:26" s="19" customFormat="1" x14ac:dyDescent="0.2">
      <c r="A59" s="23"/>
    </row>
    <row r="60" spans="1:26" s="19" customFormat="1" x14ac:dyDescent="0.2">
      <c r="A60" s="23"/>
    </row>
    <row r="61" spans="1:26" s="19" customFormat="1" x14ac:dyDescent="0.2">
      <c r="A61" s="23"/>
    </row>
    <row r="62" spans="1:26" s="19" customFormat="1" x14ac:dyDescent="0.2">
      <c r="A62" s="23"/>
    </row>
    <row r="63" spans="1:26" s="19" customFormat="1" x14ac:dyDescent="0.2">
      <c r="A63" s="23"/>
    </row>
    <row r="64" spans="1:26" s="19" customFormat="1" x14ac:dyDescent="0.2">
      <c r="A64" s="23"/>
    </row>
    <row r="65" spans="1:1" s="19" customFormat="1" x14ac:dyDescent="0.2">
      <c r="A65" s="23"/>
    </row>
    <row r="66" spans="1:1" s="19" customFormat="1" x14ac:dyDescent="0.2">
      <c r="A66" s="23"/>
    </row>
    <row r="67" spans="1:1" s="19" customFormat="1" x14ac:dyDescent="0.2">
      <c r="A67" s="23"/>
    </row>
    <row r="68" spans="1:1" s="19" customFormat="1" x14ac:dyDescent="0.2">
      <c r="A68" s="23"/>
    </row>
    <row r="69" spans="1:1" s="19" customFormat="1" x14ac:dyDescent="0.2">
      <c r="A69" s="23"/>
    </row>
    <row r="70" spans="1:1" s="19" customFormat="1" x14ac:dyDescent="0.2">
      <c r="A70" s="23"/>
    </row>
    <row r="71" spans="1:1" s="19" customFormat="1" x14ac:dyDescent="0.2">
      <c r="A71" s="23"/>
    </row>
    <row r="72" spans="1:1" s="19" customFormat="1" x14ac:dyDescent="0.2"/>
    <row r="73" spans="1:1" s="19" customFormat="1" x14ac:dyDescent="0.2"/>
    <row r="74" spans="1:1" s="19" customFormat="1" x14ac:dyDescent="0.2"/>
    <row r="75" spans="1:1" s="19" customFormat="1" x14ac:dyDescent="0.2"/>
    <row r="76" spans="1:1" s="19" customFormat="1" x14ac:dyDescent="0.2"/>
    <row r="77" spans="1:1" s="19" customFormat="1" x14ac:dyDescent="0.2"/>
    <row r="78" spans="1:1" s="19" customFormat="1" x14ac:dyDescent="0.2"/>
    <row r="79" spans="1:1" s="19" customFormat="1" x14ac:dyDescent="0.2"/>
  </sheetData>
  <mergeCells count="5">
    <mergeCell ref="B1:E1"/>
    <mergeCell ref="G1:J1"/>
    <mergeCell ref="L1:O1"/>
    <mergeCell ref="Q1:T1"/>
    <mergeCell ref="V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9"/>
  <sheetViews>
    <sheetView zoomScaleNormal="100" workbookViewId="0">
      <selection activeCell="R38" sqref="R38"/>
    </sheetView>
  </sheetViews>
  <sheetFormatPr defaultColWidth="4" defaultRowHeight="12.75" x14ac:dyDescent="0.2"/>
  <cols>
    <col min="1" max="1" width="7.5703125" style="2" customWidth="1"/>
    <col min="2" max="16384" width="4" style="2"/>
  </cols>
  <sheetData>
    <row r="1" spans="1:35" s="7" customFormat="1" x14ac:dyDescent="0.2">
      <c r="B1" s="18" t="s">
        <v>7</v>
      </c>
      <c r="C1" s="18"/>
      <c r="D1" s="18"/>
      <c r="E1" s="18"/>
      <c r="F1" s="8"/>
      <c r="G1" s="18" t="s">
        <v>8</v>
      </c>
      <c r="H1" s="18"/>
      <c r="I1" s="18"/>
      <c r="J1" s="18"/>
      <c r="K1" s="8"/>
      <c r="L1" s="18" t="s">
        <v>9</v>
      </c>
      <c r="M1" s="18"/>
      <c r="N1" s="18"/>
      <c r="O1" s="18"/>
      <c r="P1" s="8"/>
      <c r="Q1" s="18" t="s">
        <v>10</v>
      </c>
      <c r="R1" s="18"/>
      <c r="S1" s="18"/>
      <c r="T1" s="18"/>
      <c r="U1" s="8"/>
      <c r="V1" s="18" t="s">
        <v>11</v>
      </c>
      <c r="W1" s="18"/>
      <c r="X1" s="18"/>
      <c r="Y1" s="18"/>
      <c r="Z1" s="8"/>
      <c r="AA1" s="18" t="s">
        <v>12</v>
      </c>
      <c r="AB1" s="18"/>
      <c r="AC1" s="18"/>
      <c r="AD1" s="18"/>
    </row>
    <row r="2" spans="1:35" s="8" customFormat="1" x14ac:dyDescent="0.2">
      <c r="B2" s="8" t="s">
        <v>25</v>
      </c>
      <c r="C2" s="8" t="s">
        <v>26</v>
      </c>
      <c r="D2" s="8" t="s">
        <v>27</v>
      </c>
      <c r="E2" s="8" t="s">
        <v>28</v>
      </c>
      <c r="G2" s="8" t="s">
        <v>25</v>
      </c>
      <c r="H2" s="8" t="s">
        <v>26</v>
      </c>
      <c r="I2" s="8" t="s">
        <v>27</v>
      </c>
      <c r="J2" s="8" t="s">
        <v>28</v>
      </c>
      <c r="L2" s="8" t="s">
        <v>25</v>
      </c>
      <c r="M2" s="8" t="s">
        <v>26</v>
      </c>
      <c r="N2" s="8" t="s">
        <v>27</v>
      </c>
      <c r="O2" s="8" t="s">
        <v>28</v>
      </c>
      <c r="Q2" s="8" t="s">
        <v>25</v>
      </c>
      <c r="R2" s="8" t="s">
        <v>26</v>
      </c>
      <c r="S2" s="8" t="s">
        <v>27</v>
      </c>
      <c r="T2" s="8" t="s">
        <v>28</v>
      </c>
      <c r="V2" s="8" t="s">
        <v>25</v>
      </c>
      <c r="W2" s="8" t="s">
        <v>26</v>
      </c>
      <c r="X2" s="8" t="s">
        <v>27</v>
      </c>
      <c r="Y2" s="8" t="s">
        <v>28</v>
      </c>
      <c r="AA2" s="8" t="s">
        <v>25</v>
      </c>
      <c r="AB2" s="8" t="s">
        <v>26</v>
      </c>
      <c r="AC2" s="8" t="s">
        <v>27</v>
      </c>
      <c r="AD2" s="8" t="s">
        <v>28</v>
      </c>
    </row>
    <row r="3" spans="1:35" ht="15" x14ac:dyDescent="0.25">
      <c r="A3" s="7" t="s">
        <v>0</v>
      </c>
      <c r="B3" s="14">
        <v>1</v>
      </c>
      <c r="C3" s="2">
        <v>2</v>
      </c>
      <c r="D3" s="2">
        <v>21</v>
      </c>
      <c r="E3" s="2">
        <v>11</v>
      </c>
      <c r="G3" s="14">
        <v>9</v>
      </c>
      <c r="H3" s="2">
        <v>10</v>
      </c>
      <c r="I3" s="2">
        <v>19</v>
      </c>
      <c r="J3" s="2">
        <v>5</v>
      </c>
      <c r="L3" s="14">
        <v>17</v>
      </c>
      <c r="M3" s="2">
        <v>18</v>
      </c>
      <c r="N3" s="2">
        <v>3</v>
      </c>
      <c r="O3" s="2">
        <v>13</v>
      </c>
      <c r="Q3" s="14">
        <v>4</v>
      </c>
      <c r="R3" s="2">
        <v>7</v>
      </c>
      <c r="S3" s="2">
        <v>6</v>
      </c>
      <c r="T3" s="2">
        <v>24</v>
      </c>
      <c r="V3" s="14">
        <v>15</v>
      </c>
      <c r="W3" s="6">
        <v>8</v>
      </c>
      <c r="X3" s="2">
        <v>12</v>
      </c>
      <c r="Y3" s="2">
        <v>14</v>
      </c>
      <c r="AA3" s="14">
        <v>16</v>
      </c>
      <c r="AB3" s="2">
        <v>23</v>
      </c>
      <c r="AC3" s="2">
        <v>22</v>
      </c>
      <c r="AD3" s="2">
        <v>20</v>
      </c>
    </row>
    <row r="4" spans="1:35" x14ac:dyDescent="0.2">
      <c r="A4" s="7" t="s">
        <v>1</v>
      </c>
      <c r="B4" s="14">
        <v>13</v>
      </c>
      <c r="C4" s="2">
        <v>15</v>
      </c>
      <c r="D4" s="2">
        <v>16</v>
      </c>
      <c r="E4" s="2">
        <v>2</v>
      </c>
      <c r="G4" s="14">
        <v>3</v>
      </c>
      <c r="H4" s="2">
        <v>12</v>
      </c>
      <c r="I4" s="2">
        <v>22</v>
      </c>
      <c r="J4" s="2">
        <v>1</v>
      </c>
      <c r="L4" s="14">
        <v>11</v>
      </c>
      <c r="M4" s="2">
        <v>20</v>
      </c>
      <c r="N4" s="2">
        <v>6</v>
      </c>
      <c r="O4" s="2">
        <v>9</v>
      </c>
      <c r="Q4" s="14">
        <v>19</v>
      </c>
      <c r="R4" s="2">
        <v>4</v>
      </c>
      <c r="S4" s="2">
        <v>14</v>
      </c>
      <c r="T4" s="2">
        <v>17</v>
      </c>
      <c r="V4" s="14">
        <v>7</v>
      </c>
      <c r="W4" s="2">
        <v>18</v>
      </c>
      <c r="X4" s="2">
        <v>5</v>
      </c>
      <c r="Y4" s="2">
        <v>8</v>
      </c>
      <c r="AA4" s="14">
        <v>21</v>
      </c>
      <c r="AB4" s="2">
        <v>23</v>
      </c>
      <c r="AC4" s="2">
        <v>24</v>
      </c>
      <c r="AD4" s="2">
        <v>10</v>
      </c>
    </row>
    <row r="5" spans="1:35" x14ac:dyDescent="0.2">
      <c r="A5" s="7" t="s">
        <v>2</v>
      </c>
      <c r="B5" s="14">
        <v>14</v>
      </c>
      <c r="C5" s="2">
        <v>16</v>
      </c>
      <c r="D5" s="2">
        <v>10</v>
      </c>
      <c r="E5" s="2">
        <v>3</v>
      </c>
      <c r="G5" s="14">
        <v>22</v>
      </c>
      <c r="H5" s="2">
        <v>24</v>
      </c>
      <c r="I5" s="2">
        <v>18</v>
      </c>
      <c r="J5" s="2">
        <v>11</v>
      </c>
      <c r="L5" s="14">
        <v>23</v>
      </c>
      <c r="M5" s="2">
        <v>13</v>
      </c>
      <c r="N5" s="2">
        <v>4</v>
      </c>
      <c r="O5" s="2">
        <v>1</v>
      </c>
      <c r="Q5" s="14">
        <v>12</v>
      </c>
      <c r="R5" s="2">
        <v>21</v>
      </c>
      <c r="S5" s="2">
        <v>7</v>
      </c>
      <c r="T5" s="2">
        <v>9</v>
      </c>
      <c r="V5" s="14">
        <v>5</v>
      </c>
      <c r="W5" s="2">
        <v>15</v>
      </c>
      <c r="X5" s="2">
        <v>17</v>
      </c>
      <c r="Y5" s="2">
        <v>20</v>
      </c>
      <c r="AA5" s="14">
        <v>2</v>
      </c>
      <c r="AB5" s="2">
        <v>6</v>
      </c>
      <c r="AC5" s="2">
        <v>8</v>
      </c>
      <c r="AD5" s="2">
        <v>19</v>
      </c>
    </row>
    <row r="6" spans="1:35" x14ac:dyDescent="0.2">
      <c r="A6" s="7" t="s">
        <v>3</v>
      </c>
      <c r="B6" s="14">
        <v>3</v>
      </c>
      <c r="C6" s="2">
        <v>2</v>
      </c>
      <c r="D6" s="2">
        <v>20</v>
      </c>
      <c r="E6" s="2">
        <v>7</v>
      </c>
      <c r="G6" s="14">
        <v>10</v>
      </c>
      <c r="H6" s="2">
        <v>11</v>
      </c>
      <c r="I6" s="2">
        <v>15</v>
      </c>
      <c r="J6" s="2">
        <v>4</v>
      </c>
      <c r="L6" s="14">
        <v>18</v>
      </c>
      <c r="M6" s="2">
        <v>19</v>
      </c>
      <c r="N6" s="2">
        <v>23</v>
      </c>
      <c r="O6" s="2">
        <v>12</v>
      </c>
      <c r="Q6" s="14">
        <v>24</v>
      </c>
      <c r="R6" s="2">
        <v>1</v>
      </c>
      <c r="S6" s="2">
        <v>5</v>
      </c>
      <c r="T6" s="2">
        <v>14</v>
      </c>
      <c r="V6" s="14">
        <v>8</v>
      </c>
      <c r="W6" s="2">
        <v>9</v>
      </c>
      <c r="X6" s="2">
        <v>13</v>
      </c>
      <c r="Y6" s="2">
        <v>22</v>
      </c>
      <c r="AA6" s="14">
        <v>6</v>
      </c>
      <c r="AB6" s="2">
        <v>17</v>
      </c>
      <c r="AC6" s="2">
        <v>16</v>
      </c>
      <c r="AD6" s="2">
        <v>21</v>
      </c>
    </row>
    <row r="7" spans="1:35" x14ac:dyDescent="0.2">
      <c r="A7" s="7" t="s">
        <v>4</v>
      </c>
      <c r="B7" s="14">
        <v>17</v>
      </c>
      <c r="C7" s="2">
        <v>22</v>
      </c>
      <c r="D7" s="2">
        <v>10</v>
      </c>
      <c r="E7" s="2">
        <v>7</v>
      </c>
      <c r="G7" s="14">
        <v>4</v>
      </c>
      <c r="H7" s="2">
        <v>3</v>
      </c>
      <c r="I7" s="2">
        <v>21</v>
      </c>
      <c r="J7" s="2">
        <v>8</v>
      </c>
      <c r="L7" s="14">
        <v>5</v>
      </c>
      <c r="M7" s="2">
        <v>11</v>
      </c>
      <c r="N7" s="2">
        <v>12</v>
      </c>
      <c r="O7" s="2">
        <v>16</v>
      </c>
      <c r="Q7" s="14">
        <v>13</v>
      </c>
      <c r="R7" s="2">
        <v>19</v>
      </c>
      <c r="S7" s="2">
        <v>20</v>
      </c>
      <c r="T7" s="2">
        <v>24</v>
      </c>
      <c r="V7" s="14">
        <v>1</v>
      </c>
      <c r="W7" s="2">
        <v>6</v>
      </c>
      <c r="X7" s="2">
        <v>15</v>
      </c>
      <c r="Y7" s="2">
        <v>18</v>
      </c>
      <c r="AA7" s="14">
        <v>9</v>
      </c>
      <c r="AB7" s="2">
        <v>14</v>
      </c>
      <c r="AC7" s="2">
        <v>2</v>
      </c>
      <c r="AD7" s="2">
        <v>23</v>
      </c>
    </row>
    <row r="8" spans="1:35" x14ac:dyDescent="0.2">
      <c r="A8" s="7" t="s">
        <v>5</v>
      </c>
      <c r="B8" s="14">
        <v>15</v>
      </c>
      <c r="C8" s="2">
        <v>24</v>
      </c>
      <c r="D8" s="2">
        <v>9</v>
      </c>
      <c r="E8" s="2">
        <v>3</v>
      </c>
      <c r="G8" s="14">
        <v>23</v>
      </c>
      <c r="H8" s="2">
        <v>8</v>
      </c>
      <c r="I8" s="2">
        <v>11</v>
      </c>
      <c r="J8" s="2">
        <v>17</v>
      </c>
      <c r="L8" s="14">
        <v>2</v>
      </c>
      <c r="M8" s="2">
        <v>5</v>
      </c>
      <c r="N8" s="2">
        <v>4</v>
      </c>
      <c r="O8" s="2">
        <v>22</v>
      </c>
      <c r="Q8" s="14">
        <v>10</v>
      </c>
      <c r="R8" s="2">
        <v>12</v>
      </c>
      <c r="S8" s="2">
        <v>13</v>
      </c>
      <c r="T8" s="2">
        <v>6</v>
      </c>
      <c r="V8" s="14">
        <v>18</v>
      </c>
      <c r="W8" s="2">
        <v>20</v>
      </c>
      <c r="X8" s="2">
        <v>14</v>
      </c>
      <c r="Y8" s="2">
        <v>21</v>
      </c>
      <c r="AA8" s="14">
        <v>7</v>
      </c>
      <c r="AB8" s="2">
        <v>16</v>
      </c>
      <c r="AC8" s="2">
        <v>1</v>
      </c>
      <c r="AD8" s="2">
        <v>19</v>
      </c>
    </row>
    <row r="9" spans="1:35" x14ac:dyDescent="0.2">
      <c r="A9" s="7" t="s">
        <v>6</v>
      </c>
      <c r="B9" s="14">
        <v>20</v>
      </c>
      <c r="C9" s="2">
        <v>1</v>
      </c>
      <c r="D9" s="2">
        <v>8</v>
      </c>
      <c r="E9" s="2">
        <v>10</v>
      </c>
      <c r="G9" s="14">
        <v>16</v>
      </c>
      <c r="H9" s="2">
        <v>9</v>
      </c>
      <c r="I9" s="2">
        <v>18</v>
      </c>
      <c r="J9" s="2">
        <v>4</v>
      </c>
      <c r="L9" s="14">
        <v>12</v>
      </c>
      <c r="M9" s="2">
        <v>17</v>
      </c>
      <c r="N9" s="2">
        <v>24</v>
      </c>
      <c r="O9" s="2">
        <v>2</v>
      </c>
      <c r="Q9" s="14">
        <v>6</v>
      </c>
      <c r="R9" s="2">
        <v>3</v>
      </c>
      <c r="S9" s="2">
        <v>23</v>
      </c>
      <c r="T9" s="2">
        <v>5</v>
      </c>
      <c r="V9" s="14">
        <v>14</v>
      </c>
      <c r="W9" s="2">
        <v>7</v>
      </c>
      <c r="X9" s="2">
        <v>11</v>
      </c>
      <c r="Y9" s="2">
        <v>13</v>
      </c>
      <c r="AA9" s="14">
        <v>22</v>
      </c>
      <c r="AB9" s="2">
        <v>21</v>
      </c>
      <c r="AC9" s="2">
        <v>19</v>
      </c>
      <c r="AD9" s="2">
        <v>15</v>
      </c>
    </row>
    <row r="12" spans="1:35" x14ac:dyDescent="0.2">
      <c r="AF12" s="8"/>
      <c r="AG12" s="8"/>
      <c r="AH12" s="8"/>
      <c r="AI12" s="8"/>
    </row>
    <row r="13" spans="1:35" ht="15" x14ac:dyDescent="0.25">
      <c r="A13" s="1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5" ht="15" x14ac:dyDescent="0.25">
      <c r="A14" s="1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5" ht="15" x14ac:dyDescent="0.25">
      <c r="A15" s="1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ht="15" x14ac:dyDescent="0.25">
      <c r="A16" s="1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6" ht="15" x14ac:dyDescent="0.25">
      <c r="A17" s="1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6" ht="15" x14ac:dyDescent="0.25">
      <c r="A18" s="1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6" ht="15" x14ac:dyDescent="0.25">
      <c r="A19" s="1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6" ht="15" x14ac:dyDescent="0.25">
      <c r="A20" s="1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6" ht="15" x14ac:dyDescent="0.25">
      <c r="A21" s="1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spans="1:36" ht="15" x14ac:dyDescent="0.25">
      <c r="A22" s="1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</row>
    <row r="23" spans="1:36" ht="15" x14ac:dyDescent="0.25">
      <c r="A23" s="1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spans="1:36" ht="15" x14ac:dyDescent="0.25">
      <c r="A24" s="1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6" ht="15" x14ac:dyDescent="0.25">
      <c r="A25" s="1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</row>
    <row r="26" spans="1:36" ht="15" x14ac:dyDescent="0.25">
      <c r="A26" s="1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</row>
    <row r="27" spans="1:36" ht="15" x14ac:dyDescent="0.25">
      <c r="A27" s="1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spans="1:36" ht="15" x14ac:dyDescent="0.25">
      <c r="A28" s="1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</row>
    <row r="29" spans="1:36" ht="15" x14ac:dyDescent="0.25">
      <c r="A29" s="1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</row>
    <row r="30" spans="1:36" ht="15" x14ac:dyDescent="0.25">
      <c r="A30" s="1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</row>
    <row r="31" spans="1:36" ht="15" x14ac:dyDescent="0.25">
      <c r="A31" s="1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</row>
    <row r="32" spans="1:36" ht="15" x14ac:dyDescent="0.25">
      <c r="A32" s="1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</row>
    <row r="33" spans="1:36" ht="15" x14ac:dyDescent="0.25">
      <c r="A33" s="1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</row>
    <row r="34" spans="1:36" ht="15" x14ac:dyDescent="0.25">
      <c r="A34" s="1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</row>
    <row r="35" spans="1:36" ht="15" x14ac:dyDescent="0.25">
      <c r="A35" s="1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</row>
    <row r="36" spans="1:36" ht="15" x14ac:dyDescent="0.25">
      <c r="A36" s="1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</row>
    <row r="38" spans="1:36" ht="15" x14ac:dyDescent="0.25">
      <c r="AF38" s="6"/>
      <c r="AG38" s="6"/>
      <c r="AH38" s="6"/>
      <c r="AI38" s="6"/>
      <c r="AJ38" s="6"/>
    </row>
    <row r="39" spans="1:36" ht="15" x14ac:dyDescent="0.25">
      <c r="AF39" s="6"/>
      <c r="AG39" s="6"/>
      <c r="AH39" s="6"/>
      <c r="AI39" s="6"/>
      <c r="AJ39" s="6"/>
    </row>
  </sheetData>
  <mergeCells count="6">
    <mergeCell ref="AA1:AD1"/>
    <mergeCell ref="B1:E1"/>
    <mergeCell ref="G1:J1"/>
    <mergeCell ref="L1:O1"/>
    <mergeCell ref="Q1:T1"/>
    <mergeCell ref="V1:Y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N40"/>
  <sheetViews>
    <sheetView zoomScaleNormal="100" workbookViewId="0"/>
  </sheetViews>
  <sheetFormatPr defaultColWidth="3.85546875" defaultRowHeight="12.75" x14ac:dyDescent="0.2"/>
  <cols>
    <col min="1" max="1" width="7.85546875" style="2" customWidth="1"/>
    <col min="2" max="16384" width="3.85546875" style="2"/>
  </cols>
  <sheetData>
    <row r="1" spans="1:40" s="1" customFormat="1" x14ac:dyDescent="0.2">
      <c r="B1" s="18" t="s">
        <v>7</v>
      </c>
      <c r="C1" s="18"/>
      <c r="D1" s="18"/>
      <c r="E1" s="18"/>
      <c r="F1" s="8"/>
      <c r="G1" s="18" t="s">
        <v>8</v>
      </c>
      <c r="H1" s="18"/>
      <c r="I1" s="18"/>
      <c r="J1" s="18"/>
      <c r="K1" s="8"/>
      <c r="L1" s="18" t="s">
        <v>9</v>
      </c>
      <c r="M1" s="18"/>
      <c r="N1" s="18"/>
      <c r="O1" s="18"/>
      <c r="P1" s="8"/>
      <c r="Q1" s="18" t="s">
        <v>10</v>
      </c>
      <c r="R1" s="18"/>
      <c r="S1" s="18"/>
      <c r="T1" s="18"/>
      <c r="U1" s="8"/>
      <c r="V1" s="18" t="s">
        <v>11</v>
      </c>
      <c r="W1" s="18"/>
      <c r="X1" s="18"/>
      <c r="Y1" s="18"/>
      <c r="Z1" s="8"/>
      <c r="AA1" s="18" t="s">
        <v>12</v>
      </c>
      <c r="AB1" s="18"/>
      <c r="AC1" s="18"/>
      <c r="AD1" s="18"/>
      <c r="AE1" s="8"/>
      <c r="AF1" s="18" t="s">
        <v>13</v>
      </c>
      <c r="AG1" s="18"/>
      <c r="AH1" s="18"/>
      <c r="AI1" s="18"/>
    </row>
    <row r="2" spans="1:40" s="8" customFormat="1" x14ac:dyDescent="0.2">
      <c r="B2" s="8" t="s">
        <v>25</v>
      </c>
      <c r="C2" s="8" t="s">
        <v>26</v>
      </c>
      <c r="D2" s="8" t="s">
        <v>27</v>
      </c>
      <c r="E2" s="8" t="s">
        <v>28</v>
      </c>
      <c r="G2" s="8" t="s">
        <v>25</v>
      </c>
      <c r="H2" s="8" t="s">
        <v>26</v>
      </c>
      <c r="I2" s="8" t="s">
        <v>27</v>
      </c>
      <c r="J2" s="8" t="s">
        <v>28</v>
      </c>
      <c r="L2" s="8" t="s">
        <v>25</v>
      </c>
      <c r="M2" s="8" t="s">
        <v>26</v>
      </c>
      <c r="N2" s="8" t="s">
        <v>27</v>
      </c>
      <c r="O2" s="8" t="s">
        <v>28</v>
      </c>
      <c r="Q2" s="8" t="s">
        <v>25</v>
      </c>
      <c r="R2" s="8" t="s">
        <v>26</v>
      </c>
      <c r="S2" s="8" t="s">
        <v>27</v>
      </c>
      <c r="T2" s="8" t="s">
        <v>28</v>
      </c>
      <c r="V2" s="8" t="s">
        <v>25</v>
      </c>
      <c r="W2" s="8" t="s">
        <v>26</v>
      </c>
      <c r="X2" s="8" t="s">
        <v>27</v>
      </c>
      <c r="Y2" s="8" t="s">
        <v>28</v>
      </c>
      <c r="AA2" s="8" t="s">
        <v>25</v>
      </c>
      <c r="AB2" s="8" t="s">
        <v>26</v>
      </c>
      <c r="AC2" s="8" t="s">
        <v>27</v>
      </c>
      <c r="AD2" s="8" t="s">
        <v>28</v>
      </c>
      <c r="AF2" s="8" t="s">
        <v>25</v>
      </c>
      <c r="AG2" s="8" t="s">
        <v>26</v>
      </c>
      <c r="AH2" s="8" t="s">
        <v>27</v>
      </c>
      <c r="AI2" s="8" t="s">
        <v>28</v>
      </c>
    </row>
    <row r="3" spans="1:40" x14ac:dyDescent="0.2">
      <c r="A3" s="1" t="s">
        <v>0</v>
      </c>
      <c r="B3" s="14">
        <v>1</v>
      </c>
      <c r="C3" s="2">
        <v>8</v>
      </c>
      <c r="D3" s="2">
        <f>14+1</f>
        <v>15</v>
      </c>
      <c r="E3" s="2">
        <f>14+8</f>
        <v>22</v>
      </c>
      <c r="G3" s="14">
        <v>7</v>
      </c>
      <c r="H3" s="2">
        <v>14</v>
      </c>
      <c r="I3" s="2">
        <f>14+7</f>
        <v>21</v>
      </c>
      <c r="J3" s="2">
        <f>14+14</f>
        <v>28</v>
      </c>
      <c r="L3" s="14">
        <v>6</v>
      </c>
      <c r="M3" s="2">
        <v>13</v>
      </c>
      <c r="N3" s="2">
        <f>14+6</f>
        <v>20</v>
      </c>
      <c r="O3" s="2">
        <f>14+13</f>
        <v>27</v>
      </c>
      <c r="Q3" s="14">
        <v>5</v>
      </c>
      <c r="R3" s="2">
        <v>12</v>
      </c>
      <c r="S3" s="2">
        <f>14+5</f>
        <v>19</v>
      </c>
      <c r="T3" s="2">
        <f>14+12</f>
        <v>26</v>
      </c>
      <c r="V3" s="14">
        <v>4</v>
      </c>
      <c r="W3" s="2">
        <v>11</v>
      </c>
      <c r="X3" s="2">
        <f>14+4</f>
        <v>18</v>
      </c>
      <c r="Y3" s="2">
        <f>14+11</f>
        <v>25</v>
      </c>
      <c r="AA3" s="14">
        <v>3</v>
      </c>
      <c r="AB3" s="2">
        <v>10</v>
      </c>
      <c r="AC3" s="2">
        <f>14+3</f>
        <v>17</v>
      </c>
      <c r="AD3" s="2">
        <f>14+10</f>
        <v>24</v>
      </c>
      <c r="AF3" s="14">
        <v>2</v>
      </c>
      <c r="AG3" s="2">
        <v>9</v>
      </c>
      <c r="AH3" s="2">
        <f>14+2</f>
        <v>16</v>
      </c>
      <c r="AI3" s="2">
        <f>14+9</f>
        <v>23</v>
      </c>
    </row>
    <row r="4" spans="1:40" x14ac:dyDescent="0.2">
      <c r="A4" s="1" t="s">
        <v>1</v>
      </c>
      <c r="B4" s="14">
        <f>14+5</f>
        <v>19</v>
      </c>
      <c r="C4" s="2">
        <f>14+11</f>
        <v>25</v>
      </c>
      <c r="D4" s="2">
        <v>7</v>
      </c>
      <c r="E4" s="2">
        <v>13</v>
      </c>
      <c r="G4" s="14">
        <f>14+4</f>
        <v>18</v>
      </c>
      <c r="H4" s="2">
        <f>14+10</f>
        <v>24</v>
      </c>
      <c r="I4" s="2">
        <v>6</v>
      </c>
      <c r="J4" s="2">
        <v>12</v>
      </c>
      <c r="L4" s="14">
        <f>14+3</f>
        <v>17</v>
      </c>
      <c r="M4" s="2">
        <f>14+9</f>
        <v>23</v>
      </c>
      <c r="N4" s="2">
        <v>5</v>
      </c>
      <c r="O4" s="2">
        <v>11</v>
      </c>
      <c r="Q4" s="14">
        <f>14+2</f>
        <v>16</v>
      </c>
      <c r="R4" s="2">
        <f>14+8</f>
        <v>22</v>
      </c>
      <c r="S4" s="2">
        <v>4</v>
      </c>
      <c r="T4" s="2">
        <v>10</v>
      </c>
      <c r="V4" s="14">
        <f>14+1</f>
        <v>15</v>
      </c>
      <c r="W4" s="2">
        <f>14+14</f>
        <v>28</v>
      </c>
      <c r="X4" s="2">
        <v>3</v>
      </c>
      <c r="Y4" s="2">
        <v>9</v>
      </c>
      <c r="AA4" s="14">
        <f>14+7</f>
        <v>21</v>
      </c>
      <c r="AB4" s="2">
        <f>14+13</f>
        <v>27</v>
      </c>
      <c r="AC4" s="2">
        <v>2</v>
      </c>
      <c r="AD4" s="2">
        <v>8</v>
      </c>
      <c r="AF4" s="14">
        <f>14+6</f>
        <v>20</v>
      </c>
      <c r="AG4" s="2">
        <f>14+12</f>
        <v>26</v>
      </c>
      <c r="AH4" s="2">
        <v>1</v>
      </c>
      <c r="AI4" s="2">
        <v>14</v>
      </c>
    </row>
    <row r="5" spans="1:40" x14ac:dyDescent="0.2">
      <c r="A5" s="1" t="s">
        <v>2</v>
      </c>
      <c r="B5" s="14">
        <v>11</v>
      </c>
      <c r="C5" s="2">
        <f>14+2</f>
        <v>16</v>
      </c>
      <c r="D5" s="2">
        <f>14+14</f>
        <v>28</v>
      </c>
      <c r="E5" s="2">
        <v>6</v>
      </c>
      <c r="G5" s="14">
        <v>10</v>
      </c>
      <c r="H5" s="2">
        <f>14+1</f>
        <v>15</v>
      </c>
      <c r="I5" s="2">
        <f>14+13</f>
        <v>27</v>
      </c>
      <c r="J5" s="2">
        <v>5</v>
      </c>
      <c r="L5" s="14">
        <v>9</v>
      </c>
      <c r="M5" s="2">
        <f>14+7</f>
        <v>21</v>
      </c>
      <c r="N5" s="2">
        <f>14+12</f>
        <v>26</v>
      </c>
      <c r="O5" s="2">
        <v>4</v>
      </c>
      <c r="Q5" s="14">
        <v>8</v>
      </c>
      <c r="R5" s="2">
        <f>14+6</f>
        <v>20</v>
      </c>
      <c r="S5" s="2">
        <f>14+11</f>
        <v>25</v>
      </c>
      <c r="T5" s="2">
        <v>3</v>
      </c>
      <c r="V5" s="14">
        <v>14</v>
      </c>
      <c r="W5" s="2">
        <f>14+5</f>
        <v>19</v>
      </c>
      <c r="X5" s="2">
        <f>14+10</f>
        <v>24</v>
      </c>
      <c r="Y5" s="2">
        <v>2</v>
      </c>
      <c r="AA5" s="14">
        <v>13</v>
      </c>
      <c r="AB5" s="2">
        <f>14+4</f>
        <v>18</v>
      </c>
      <c r="AC5" s="2">
        <f>14+9</f>
        <v>23</v>
      </c>
      <c r="AD5" s="2">
        <v>1</v>
      </c>
      <c r="AF5" s="14">
        <v>12</v>
      </c>
      <c r="AG5" s="2">
        <f>14+3</f>
        <v>17</v>
      </c>
      <c r="AH5" s="2">
        <f>14+8</f>
        <v>22</v>
      </c>
      <c r="AI5" s="2">
        <v>7</v>
      </c>
    </row>
    <row r="6" spans="1:40" x14ac:dyDescent="0.2">
      <c r="A6" s="1" t="s">
        <v>3</v>
      </c>
      <c r="B6" s="14">
        <f>14+10</f>
        <v>24</v>
      </c>
      <c r="C6" s="2">
        <v>5</v>
      </c>
      <c r="D6" s="2">
        <v>9</v>
      </c>
      <c r="E6" s="2">
        <f>14+6</f>
        <v>20</v>
      </c>
      <c r="G6" s="14">
        <f>14+9</f>
        <v>23</v>
      </c>
      <c r="H6" s="2">
        <v>4</v>
      </c>
      <c r="I6" s="2">
        <v>8</v>
      </c>
      <c r="J6" s="2">
        <f>14+5</f>
        <v>19</v>
      </c>
      <c r="L6" s="14">
        <f>14+8</f>
        <v>22</v>
      </c>
      <c r="M6" s="2">
        <v>3</v>
      </c>
      <c r="N6" s="2">
        <v>14</v>
      </c>
      <c r="O6" s="2">
        <f>14+4</f>
        <v>18</v>
      </c>
      <c r="Q6" s="14">
        <f>14+14</f>
        <v>28</v>
      </c>
      <c r="R6" s="2">
        <v>2</v>
      </c>
      <c r="S6" s="2">
        <v>13</v>
      </c>
      <c r="T6" s="2">
        <f>14+3</f>
        <v>17</v>
      </c>
      <c r="V6" s="14">
        <f>14+13</f>
        <v>27</v>
      </c>
      <c r="W6" s="2">
        <v>1</v>
      </c>
      <c r="X6" s="2">
        <v>12</v>
      </c>
      <c r="Y6" s="2">
        <f>14+2</f>
        <v>16</v>
      </c>
      <c r="AA6" s="14">
        <f>14+12</f>
        <v>26</v>
      </c>
      <c r="AB6" s="2">
        <v>7</v>
      </c>
      <c r="AC6" s="2">
        <v>11</v>
      </c>
      <c r="AD6" s="2">
        <f>14+1</f>
        <v>15</v>
      </c>
      <c r="AF6" s="14">
        <f>14+11</f>
        <v>25</v>
      </c>
      <c r="AG6" s="2">
        <v>6</v>
      </c>
      <c r="AH6" s="2">
        <v>10</v>
      </c>
      <c r="AI6" s="2">
        <f>14+7</f>
        <v>21</v>
      </c>
    </row>
    <row r="7" spans="1:40" x14ac:dyDescent="0.2">
      <c r="A7" s="1" t="s">
        <v>4</v>
      </c>
      <c r="B7" s="14">
        <v>4</v>
      </c>
      <c r="C7" s="2">
        <v>14</v>
      </c>
      <c r="D7" s="2">
        <f>14+3</f>
        <v>17</v>
      </c>
      <c r="E7" s="2">
        <f>14+13</f>
        <v>27</v>
      </c>
      <c r="G7" s="14">
        <v>3</v>
      </c>
      <c r="H7" s="2">
        <v>13</v>
      </c>
      <c r="I7" s="2">
        <f>14+2</f>
        <v>16</v>
      </c>
      <c r="J7" s="2">
        <f>14+12</f>
        <v>26</v>
      </c>
      <c r="L7" s="14">
        <v>2</v>
      </c>
      <c r="M7" s="2">
        <v>12</v>
      </c>
      <c r="N7" s="2">
        <f>14+1</f>
        <v>15</v>
      </c>
      <c r="O7" s="2">
        <f>14+11</f>
        <v>25</v>
      </c>
      <c r="Q7" s="14">
        <v>1</v>
      </c>
      <c r="R7" s="2">
        <v>11</v>
      </c>
      <c r="S7" s="2">
        <f>14+7</f>
        <v>21</v>
      </c>
      <c r="T7" s="2">
        <f>14+10</f>
        <v>24</v>
      </c>
      <c r="V7" s="14">
        <v>7</v>
      </c>
      <c r="W7" s="2">
        <v>10</v>
      </c>
      <c r="X7" s="2">
        <f>14+6</f>
        <v>20</v>
      </c>
      <c r="Y7" s="2">
        <f>14+9</f>
        <v>23</v>
      </c>
      <c r="AA7" s="14">
        <v>6</v>
      </c>
      <c r="AB7" s="2">
        <v>9</v>
      </c>
      <c r="AC7" s="2">
        <f>14+5</f>
        <v>19</v>
      </c>
      <c r="AD7" s="2">
        <f>14+8</f>
        <v>22</v>
      </c>
      <c r="AF7" s="14">
        <v>5</v>
      </c>
      <c r="AG7" s="2">
        <v>8</v>
      </c>
      <c r="AH7" s="2">
        <f>14+4</f>
        <v>18</v>
      </c>
      <c r="AI7" s="2">
        <f>14+14</f>
        <v>28</v>
      </c>
    </row>
    <row r="8" spans="1:40" x14ac:dyDescent="0.2">
      <c r="A8" s="1" t="s">
        <v>5</v>
      </c>
      <c r="B8" s="14">
        <f>14+7</f>
        <v>21</v>
      </c>
      <c r="C8" s="2">
        <f>14+9</f>
        <v>23</v>
      </c>
      <c r="D8" s="2">
        <v>3</v>
      </c>
      <c r="E8" s="2">
        <v>12</v>
      </c>
      <c r="G8" s="14">
        <f>14+6</f>
        <v>20</v>
      </c>
      <c r="H8" s="2">
        <f>14+8</f>
        <v>22</v>
      </c>
      <c r="I8" s="2">
        <v>2</v>
      </c>
      <c r="J8" s="2">
        <v>11</v>
      </c>
      <c r="L8" s="14">
        <f>14+5</f>
        <v>19</v>
      </c>
      <c r="M8" s="2">
        <f>14+14</f>
        <v>28</v>
      </c>
      <c r="N8" s="2">
        <v>1</v>
      </c>
      <c r="O8" s="2">
        <v>10</v>
      </c>
      <c r="Q8" s="14">
        <f>14+4</f>
        <v>18</v>
      </c>
      <c r="R8" s="2">
        <f>14+13</f>
        <v>27</v>
      </c>
      <c r="S8" s="2">
        <v>7</v>
      </c>
      <c r="T8" s="2">
        <v>9</v>
      </c>
      <c r="V8" s="14">
        <f>14+3</f>
        <v>17</v>
      </c>
      <c r="W8" s="2">
        <f>14+12</f>
        <v>26</v>
      </c>
      <c r="X8" s="2">
        <v>6</v>
      </c>
      <c r="Y8" s="2">
        <v>8</v>
      </c>
      <c r="AA8" s="14">
        <f>14+2</f>
        <v>16</v>
      </c>
      <c r="AB8" s="2">
        <f>14+11</f>
        <v>25</v>
      </c>
      <c r="AC8" s="2">
        <v>5</v>
      </c>
      <c r="AD8" s="2">
        <v>14</v>
      </c>
      <c r="AF8" s="14">
        <f>14+1</f>
        <v>15</v>
      </c>
      <c r="AG8" s="2">
        <f>14+10</f>
        <v>24</v>
      </c>
      <c r="AH8" s="2">
        <v>4</v>
      </c>
      <c r="AI8" s="2">
        <v>13</v>
      </c>
    </row>
    <row r="9" spans="1:40" x14ac:dyDescent="0.2">
      <c r="A9" s="1" t="s">
        <v>6</v>
      </c>
      <c r="B9" s="14">
        <v>10</v>
      </c>
      <c r="C9" s="2">
        <f>14+4</f>
        <v>18</v>
      </c>
      <c r="D9" s="2">
        <f>14+12</f>
        <v>26</v>
      </c>
      <c r="E9" s="2">
        <v>2</v>
      </c>
      <c r="G9" s="14">
        <v>9</v>
      </c>
      <c r="H9" s="2">
        <f>14+3</f>
        <v>17</v>
      </c>
      <c r="I9" s="2">
        <f>14+11</f>
        <v>25</v>
      </c>
      <c r="J9" s="2">
        <v>1</v>
      </c>
      <c r="L9" s="14">
        <v>8</v>
      </c>
      <c r="M9" s="2">
        <f>14+2</f>
        <v>16</v>
      </c>
      <c r="N9" s="2">
        <f>14+10</f>
        <v>24</v>
      </c>
      <c r="O9" s="2">
        <v>7</v>
      </c>
      <c r="Q9" s="14">
        <v>14</v>
      </c>
      <c r="R9" s="2">
        <f>14+1</f>
        <v>15</v>
      </c>
      <c r="S9" s="2">
        <f>14+9</f>
        <v>23</v>
      </c>
      <c r="T9" s="2">
        <v>6</v>
      </c>
      <c r="V9" s="14">
        <v>13</v>
      </c>
      <c r="W9" s="2">
        <f>14+7</f>
        <v>21</v>
      </c>
      <c r="X9" s="2">
        <f>14+8</f>
        <v>22</v>
      </c>
      <c r="Y9" s="2">
        <v>5</v>
      </c>
      <c r="AA9" s="14">
        <v>12</v>
      </c>
      <c r="AB9" s="2">
        <f>14+6</f>
        <v>20</v>
      </c>
      <c r="AC9" s="2">
        <f>14+14</f>
        <v>28</v>
      </c>
      <c r="AD9" s="2">
        <v>4</v>
      </c>
      <c r="AF9" s="14">
        <v>11</v>
      </c>
      <c r="AG9" s="2">
        <f>14+5</f>
        <v>19</v>
      </c>
      <c r="AH9" s="2">
        <f>14+13</f>
        <v>27</v>
      </c>
      <c r="AI9" s="2">
        <v>3</v>
      </c>
    </row>
    <row r="12" spans="1:40" x14ac:dyDescent="0.2">
      <c r="AK12" s="8"/>
      <c r="AL12" s="8"/>
      <c r="AM12" s="8"/>
      <c r="AN12" s="8"/>
    </row>
    <row r="13" spans="1:40" ht="15" x14ac:dyDescent="0.25">
      <c r="A13" s="1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</row>
    <row r="14" spans="1:40" ht="15" x14ac:dyDescent="0.25">
      <c r="A14" s="1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</row>
    <row r="15" spans="1:40" ht="15" x14ac:dyDescent="0.25">
      <c r="A15" s="1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</row>
    <row r="16" spans="1:40" ht="15" x14ac:dyDescent="0.25">
      <c r="A16" s="1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</row>
    <row r="17" spans="1:40" ht="15" x14ac:dyDescent="0.25">
      <c r="A17" s="1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</row>
    <row r="18" spans="1:40" ht="15" x14ac:dyDescent="0.25">
      <c r="A18" s="1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</row>
    <row r="19" spans="1:40" ht="15" x14ac:dyDescent="0.25">
      <c r="A19" s="1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</row>
    <row r="20" spans="1:40" ht="15" x14ac:dyDescent="0.25">
      <c r="A20" s="1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</row>
    <row r="21" spans="1:40" ht="15" x14ac:dyDescent="0.25">
      <c r="A21" s="1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</row>
    <row r="22" spans="1:40" ht="15" x14ac:dyDescent="0.25">
      <c r="A22" s="1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</row>
    <row r="23" spans="1:40" ht="15" x14ac:dyDescent="0.25">
      <c r="A23" s="1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</row>
    <row r="24" spans="1:40" ht="15" x14ac:dyDescent="0.25">
      <c r="A24" s="1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</row>
    <row r="25" spans="1:40" ht="15" x14ac:dyDescent="0.25">
      <c r="A25" s="1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</row>
    <row r="26" spans="1:40" ht="15" x14ac:dyDescent="0.25">
      <c r="A26" s="1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</row>
    <row r="27" spans="1:40" ht="15" x14ac:dyDescent="0.25">
      <c r="A27" s="1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</row>
    <row r="28" spans="1:40" ht="15" x14ac:dyDescent="0.25">
      <c r="A28" s="1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</row>
    <row r="29" spans="1:40" ht="15" x14ac:dyDescent="0.25">
      <c r="A29" s="1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</row>
    <row r="30" spans="1:40" ht="15" x14ac:dyDescent="0.25">
      <c r="A30" s="1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</row>
    <row r="31" spans="1:40" ht="15" x14ac:dyDescent="0.25">
      <c r="A31" s="1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</row>
    <row r="32" spans="1:40" ht="15" x14ac:dyDescent="0.25">
      <c r="A32" s="1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</row>
    <row r="33" spans="1:40" ht="15" x14ac:dyDescent="0.25">
      <c r="A33" s="1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</row>
    <row r="34" spans="1:40" ht="15" x14ac:dyDescent="0.25">
      <c r="A34" s="1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</row>
    <row r="35" spans="1:40" ht="15" x14ac:dyDescent="0.25">
      <c r="A35" s="1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</row>
    <row r="36" spans="1:40" ht="15" x14ac:dyDescent="0.25">
      <c r="A36" s="1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</row>
    <row r="37" spans="1:40" ht="15" x14ac:dyDescent="0.25">
      <c r="A37" s="1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</row>
    <row r="38" spans="1:40" ht="15" x14ac:dyDescent="0.25">
      <c r="A38" s="1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</row>
    <row r="39" spans="1:40" ht="15" x14ac:dyDescent="0.25">
      <c r="A39" s="1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</row>
    <row r="40" spans="1:40" ht="15" x14ac:dyDescent="0.25">
      <c r="A40" s="1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</row>
  </sheetData>
  <mergeCells count="7">
    <mergeCell ref="AF1:AI1"/>
    <mergeCell ref="B1:E1"/>
    <mergeCell ref="G1:J1"/>
    <mergeCell ref="L1:O1"/>
    <mergeCell ref="Q1:T1"/>
    <mergeCell ref="V1:Y1"/>
    <mergeCell ref="AA1:A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S44"/>
  <sheetViews>
    <sheetView zoomScaleNormal="100" workbookViewId="0"/>
  </sheetViews>
  <sheetFormatPr defaultColWidth="3.7109375" defaultRowHeight="12.75" x14ac:dyDescent="0.2"/>
  <cols>
    <col min="1" max="1" width="8.28515625" style="2" customWidth="1"/>
    <col min="2" max="16384" width="3.7109375" style="2"/>
  </cols>
  <sheetData>
    <row r="1" spans="1:45" s="1" customFormat="1" x14ac:dyDescent="0.2">
      <c r="B1" s="18" t="s">
        <v>7</v>
      </c>
      <c r="C1" s="18"/>
      <c r="D1" s="18"/>
      <c r="E1" s="18"/>
      <c r="F1" s="8"/>
      <c r="G1" s="18" t="s">
        <v>8</v>
      </c>
      <c r="H1" s="18"/>
      <c r="I1" s="18"/>
      <c r="J1" s="18"/>
      <c r="K1" s="8"/>
      <c r="L1" s="18" t="s">
        <v>9</v>
      </c>
      <c r="M1" s="18"/>
      <c r="N1" s="18"/>
      <c r="O1" s="18"/>
      <c r="P1" s="8"/>
      <c r="Q1" s="18" t="s">
        <v>10</v>
      </c>
      <c r="R1" s="18"/>
      <c r="S1" s="18"/>
      <c r="T1" s="18"/>
      <c r="U1" s="8"/>
      <c r="V1" s="18" t="s">
        <v>11</v>
      </c>
      <c r="W1" s="18"/>
      <c r="X1" s="18"/>
      <c r="Y1" s="18"/>
      <c r="Z1" s="8"/>
      <c r="AA1" s="18" t="s">
        <v>12</v>
      </c>
      <c r="AB1" s="18"/>
      <c r="AC1" s="18"/>
      <c r="AD1" s="18"/>
      <c r="AE1" s="8"/>
      <c r="AF1" s="18" t="s">
        <v>13</v>
      </c>
      <c r="AG1" s="18"/>
      <c r="AH1" s="18"/>
      <c r="AI1" s="18"/>
      <c r="AJ1" s="8"/>
      <c r="AK1" s="18" t="s">
        <v>14</v>
      </c>
      <c r="AL1" s="18"/>
      <c r="AM1" s="18"/>
      <c r="AN1" s="18"/>
    </row>
    <row r="2" spans="1:45" s="8" customFormat="1" x14ac:dyDescent="0.2">
      <c r="B2" s="8" t="s">
        <v>25</v>
      </c>
      <c r="C2" s="8" t="s">
        <v>26</v>
      </c>
      <c r="D2" s="8" t="s">
        <v>27</v>
      </c>
      <c r="E2" s="8" t="s">
        <v>28</v>
      </c>
      <c r="G2" s="8" t="s">
        <v>25</v>
      </c>
      <c r="H2" s="8" t="s">
        <v>26</v>
      </c>
      <c r="I2" s="8" t="s">
        <v>27</v>
      </c>
      <c r="J2" s="8" t="s">
        <v>28</v>
      </c>
      <c r="L2" s="8" t="s">
        <v>25</v>
      </c>
      <c r="M2" s="8" t="s">
        <v>26</v>
      </c>
      <c r="N2" s="8" t="s">
        <v>27</v>
      </c>
      <c r="O2" s="8" t="s">
        <v>28</v>
      </c>
      <c r="Q2" s="8" t="s">
        <v>25</v>
      </c>
      <c r="R2" s="8" t="s">
        <v>26</v>
      </c>
      <c r="S2" s="8" t="s">
        <v>27</v>
      </c>
      <c r="T2" s="8" t="s">
        <v>28</v>
      </c>
      <c r="V2" s="8" t="s">
        <v>25</v>
      </c>
      <c r="W2" s="8" t="s">
        <v>26</v>
      </c>
      <c r="X2" s="8" t="s">
        <v>27</v>
      </c>
      <c r="Y2" s="8" t="s">
        <v>28</v>
      </c>
      <c r="AA2" s="8" t="s">
        <v>25</v>
      </c>
      <c r="AB2" s="8" t="s">
        <v>26</v>
      </c>
      <c r="AC2" s="8" t="s">
        <v>27</v>
      </c>
      <c r="AD2" s="8" t="s">
        <v>28</v>
      </c>
      <c r="AF2" s="8" t="s">
        <v>25</v>
      </c>
      <c r="AG2" s="8" t="s">
        <v>26</v>
      </c>
      <c r="AH2" s="8" t="s">
        <v>27</v>
      </c>
      <c r="AI2" s="8" t="s">
        <v>28</v>
      </c>
      <c r="AK2" s="8" t="s">
        <v>25</v>
      </c>
      <c r="AL2" s="8" t="s">
        <v>26</v>
      </c>
      <c r="AM2" s="8" t="s">
        <v>27</v>
      </c>
      <c r="AN2" s="8" t="s">
        <v>28</v>
      </c>
    </row>
    <row r="3" spans="1:45" x14ac:dyDescent="0.2">
      <c r="A3" s="1" t="s">
        <v>0</v>
      </c>
      <c r="B3" s="14">
        <v>1</v>
      </c>
      <c r="C3" s="2">
        <v>9</v>
      </c>
      <c r="D3" s="2">
        <f>16+1</f>
        <v>17</v>
      </c>
      <c r="E3" s="2">
        <f>16+9</f>
        <v>25</v>
      </c>
      <c r="G3" s="14">
        <v>8</v>
      </c>
      <c r="H3" s="2">
        <v>16</v>
      </c>
      <c r="I3" s="2">
        <f>16+8</f>
        <v>24</v>
      </c>
      <c r="J3" s="2">
        <f>16+16</f>
        <v>32</v>
      </c>
      <c r="L3" s="14">
        <v>4</v>
      </c>
      <c r="M3" s="2">
        <v>12</v>
      </c>
      <c r="N3" s="2">
        <f>16+4</f>
        <v>20</v>
      </c>
      <c r="O3" s="2">
        <f>16+12</f>
        <v>28</v>
      </c>
      <c r="Q3" s="14">
        <v>5</v>
      </c>
      <c r="R3" s="2">
        <v>13</v>
      </c>
      <c r="S3" s="2">
        <f>16+5</f>
        <v>21</v>
      </c>
      <c r="T3" s="2">
        <f>16+13</f>
        <v>29</v>
      </c>
      <c r="V3" s="14">
        <v>7</v>
      </c>
      <c r="W3" s="2">
        <v>15</v>
      </c>
      <c r="X3" s="2">
        <f>16+7</f>
        <v>23</v>
      </c>
      <c r="Y3" s="2">
        <f>16+15</f>
        <v>31</v>
      </c>
      <c r="AA3" s="14">
        <v>2</v>
      </c>
      <c r="AB3" s="2">
        <v>10</v>
      </c>
      <c r="AC3" s="2">
        <f>16+2</f>
        <v>18</v>
      </c>
      <c r="AD3" s="2">
        <f>16+10</f>
        <v>26</v>
      </c>
      <c r="AF3" s="14">
        <v>6</v>
      </c>
      <c r="AG3" s="2">
        <v>14</v>
      </c>
      <c r="AH3" s="2">
        <f>16+6</f>
        <v>22</v>
      </c>
      <c r="AI3" s="2">
        <f>16+14</f>
        <v>30</v>
      </c>
      <c r="AK3" s="14">
        <v>3</v>
      </c>
      <c r="AL3" s="2">
        <v>11</v>
      </c>
      <c r="AM3" s="2">
        <f>16+3</f>
        <v>19</v>
      </c>
      <c r="AN3" s="2">
        <f>16+11</f>
        <v>27</v>
      </c>
    </row>
    <row r="4" spans="1:45" x14ac:dyDescent="0.2">
      <c r="A4" s="1" t="s">
        <v>1</v>
      </c>
      <c r="B4" s="14">
        <f>16+6</f>
        <v>22</v>
      </c>
      <c r="C4" s="2">
        <f>16+13</f>
        <v>29</v>
      </c>
      <c r="D4" s="2">
        <v>8</v>
      </c>
      <c r="E4" s="2">
        <v>15</v>
      </c>
      <c r="G4" s="14">
        <f>16+3</f>
        <v>19</v>
      </c>
      <c r="H4" s="2">
        <f>16+12</f>
        <v>28</v>
      </c>
      <c r="I4" s="2">
        <v>1</v>
      </c>
      <c r="J4" s="2">
        <v>10</v>
      </c>
      <c r="L4" s="14">
        <f>16+7</f>
        <v>23</v>
      </c>
      <c r="M4" s="2">
        <f>16+16</f>
        <v>32</v>
      </c>
      <c r="N4" s="2">
        <v>5</v>
      </c>
      <c r="O4" s="2">
        <v>14</v>
      </c>
      <c r="Q4" s="14">
        <f>16+2</f>
        <v>18</v>
      </c>
      <c r="R4" s="2">
        <f>16+9</f>
        <v>25</v>
      </c>
      <c r="S4" s="2">
        <v>4</v>
      </c>
      <c r="T4" s="2">
        <v>11</v>
      </c>
      <c r="V4" s="14">
        <f>16+4</f>
        <v>20</v>
      </c>
      <c r="W4" s="2">
        <f>16+11</f>
        <v>27</v>
      </c>
      <c r="X4" s="2">
        <v>2</v>
      </c>
      <c r="Y4" s="2">
        <v>9</v>
      </c>
      <c r="AA4" s="14">
        <f>16+5</f>
        <v>21</v>
      </c>
      <c r="AB4" s="2">
        <f>16+14</f>
        <v>30</v>
      </c>
      <c r="AC4" s="2">
        <v>7</v>
      </c>
      <c r="AD4" s="2">
        <v>16</v>
      </c>
      <c r="AF4" s="14">
        <f>16+1</f>
        <v>17</v>
      </c>
      <c r="AG4" s="2">
        <f>16+10</f>
        <v>26</v>
      </c>
      <c r="AH4" s="2">
        <v>3</v>
      </c>
      <c r="AI4" s="2">
        <v>12</v>
      </c>
      <c r="AK4" s="14">
        <f>16+8</f>
        <v>24</v>
      </c>
      <c r="AL4" s="2">
        <f>16+15</f>
        <v>31</v>
      </c>
      <c r="AM4" s="2">
        <v>6</v>
      </c>
      <c r="AN4" s="2">
        <v>13</v>
      </c>
    </row>
    <row r="5" spans="1:45" x14ac:dyDescent="0.2">
      <c r="A5" s="1" t="s">
        <v>2</v>
      </c>
      <c r="B5" s="14">
        <v>10</v>
      </c>
      <c r="C5" s="2">
        <f>16+8</f>
        <v>24</v>
      </c>
      <c r="D5" s="2">
        <f>16+14</f>
        <v>30</v>
      </c>
      <c r="E5" s="2">
        <v>4</v>
      </c>
      <c r="G5" s="14">
        <v>15</v>
      </c>
      <c r="H5" s="2">
        <f>16+1</f>
        <v>17</v>
      </c>
      <c r="I5" s="2">
        <f>16+11</f>
        <v>27</v>
      </c>
      <c r="J5" s="2">
        <v>5</v>
      </c>
      <c r="L5" s="14">
        <v>11</v>
      </c>
      <c r="M5" s="2">
        <f>16+5</f>
        <v>21</v>
      </c>
      <c r="N5" s="2">
        <f>16+15</f>
        <v>31</v>
      </c>
      <c r="O5" s="2">
        <v>1</v>
      </c>
      <c r="Q5" s="14">
        <v>14</v>
      </c>
      <c r="R5" s="2">
        <f>16+4</f>
        <v>20</v>
      </c>
      <c r="S5" s="2">
        <f>16+10</f>
        <v>26</v>
      </c>
      <c r="T5" s="2">
        <v>8</v>
      </c>
      <c r="V5" s="14">
        <v>16</v>
      </c>
      <c r="W5" s="2">
        <f>16+2</f>
        <v>18</v>
      </c>
      <c r="X5" s="2">
        <f>16+12</f>
        <v>28</v>
      </c>
      <c r="Y5" s="2">
        <v>6</v>
      </c>
      <c r="AA5" s="14">
        <v>9</v>
      </c>
      <c r="AB5" s="2">
        <f>16+7</f>
        <v>23</v>
      </c>
      <c r="AC5" s="2">
        <f>16+13</f>
        <v>29</v>
      </c>
      <c r="AD5" s="2">
        <v>3</v>
      </c>
      <c r="AF5" s="14">
        <v>13</v>
      </c>
      <c r="AG5" s="2">
        <f>16+3</f>
        <v>19</v>
      </c>
      <c r="AH5" s="2">
        <f>16+9</f>
        <v>25</v>
      </c>
      <c r="AI5" s="2">
        <v>7</v>
      </c>
      <c r="AK5" s="14">
        <v>12</v>
      </c>
      <c r="AL5" s="2">
        <f>16+6</f>
        <v>22</v>
      </c>
      <c r="AM5" s="2">
        <f>16+16</f>
        <v>32</v>
      </c>
      <c r="AN5" s="2">
        <v>2</v>
      </c>
    </row>
    <row r="6" spans="1:45" x14ac:dyDescent="0.2">
      <c r="A6" s="1" t="s">
        <v>3</v>
      </c>
      <c r="B6" s="14">
        <f>16+10</f>
        <v>26</v>
      </c>
      <c r="C6" s="2">
        <v>5</v>
      </c>
      <c r="D6" s="2">
        <v>16</v>
      </c>
      <c r="E6" s="2">
        <f>16+3</f>
        <v>19</v>
      </c>
      <c r="G6" s="14">
        <f>16+15</f>
        <v>31</v>
      </c>
      <c r="H6" s="2">
        <v>4</v>
      </c>
      <c r="I6" s="2">
        <v>9</v>
      </c>
      <c r="J6" s="2">
        <f>16+6</f>
        <v>22</v>
      </c>
      <c r="L6" s="14">
        <f>16+11</f>
        <v>27</v>
      </c>
      <c r="M6" s="2">
        <v>8</v>
      </c>
      <c r="N6" s="2">
        <v>13</v>
      </c>
      <c r="O6" s="2">
        <f>16+2</f>
        <v>18</v>
      </c>
      <c r="Q6" s="14">
        <f>16+14</f>
        <v>30</v>
      </c>
      <c r="R6" s="2">
        <v>1</v>
      </c>
      <c r="S6" s="2">
        <v>12</v>
      </c>
      <c r="T6" s="2">
        <f>16+7</f>
        <v>23</v>
      </c>
      <c r="V6" s="14">
        <f>16+16</f>
        <v>32</v>
      </c>
      <c r="W6" s="2">
        <v>3</v>
      </c>
      <c r="X6" s="2">
        <v>10</v>
      </c>
      <c r="Y6" s="2">
        <f>16+5</f>
        <v>21</v>
      </c>
      <c r="AA6" s="14">
        <f>16+9</f>
        <v>25</v>
      </c>
      <c r="AB6" s="2">
        <v>6</v>
      </c>
      <c r="AC6" s="2">
        <v>15</v>
      </c>
      <c r="AD6" s="2">
        <f>16+4</f>
        <v>20</v>
      </c>
      <c r="AF6" s="14">
        <f>16+13</f>
        <v>29</v>
      </c>
      <c r="AG6" s="2">
        <v>2</v>
      </c>
      <c r="AH6" s="2">
        <v>11</v>
      </c>
      <c r="AI6" s="2">
        <f>16+8</f>
        <v>24</v>
      </c>
      <c r="AK6" s="14">
        <f>16+12</f>
        <v>28</v>
      </c>
      <c r="AL6" s="2">
        <v>7</v>
      </c>
      <c r="AM6" s="2">
        <v>14</v>
      </c>
      <c r="AN6" s="2">
        <f>16+1</f>
        <v>17</v>
      </c>
    </row>
    <row r="7" spans="1:45" x14ac:dyDescent="0.2">
      <c r="A7" s="1" t="s">
        <v>4</v>
      </c>
      <c r="B7" s="14">
        <v>7</v>
      </c>
      <c r="C7" s="2">
        <v>11</v>
      </c>
      <c r="D7" s="2">
        <f>16+4</f>
        <v>20</v>
      </c>
      <c r="E7" s="2">
        <f>16+16</f>
        <v>32</v>
      </c>
      <c r="G7" s="14">
        <v>2</v>
      </c>
      <c r="H7" s="2">
        <v>14</v>
      </c>
      <c r="I7" s="2">
        <f>16+5</f>
        <v>21</v>
      </c>
      <c r="J7" s="2">
        <f>16+9</f>
        <v>25</v>
      </c>
      <c r="L7" s="14">
        <v>6</v>
      </c>
      <c r="M7" s="2">
        <v>10</v>
      </c>
      <c r="N7" s="2">
        <f>16+1</f>
        <v>17</v>
      </c>
      <c r="O7" s="2">
        <f>16+13</f>
        <v>29</v>
      </c>
      <c r="Q7" s="14">
        <v>3</v>
      </c>
      <c r="R7" s="2">
        <v>15</v>
      </c>
      <c r="S7" s="2">
        <f>16+8</f>
        <v>24</v>
      </c>
      <c r="T7" s="2">
        <f>16+12</f>
        <v>28</v>
      </c>
      <c r="V7" s="14">
        <v>1</v>
      </c>
      <c r="W7" s="2">
        <v>13</v>
      </c>
      <c r="X7" s="2">
        <f>16+6</f>
        <v>22</v>
      </c>
      <c r="Y7" s="2">
        <f>16+10</f>
        <v>26</v>
      </c>
      <c r="AA7" s="14">
        <v>8</v>
      </c>
      <c r="AB7" s="2">
        <v>12</v>
      </c>
      <c r="AC7" s="2">
        <f>16+3</f>
        <v>19</v>
      </c>
      <c r="AD7" s="2">
        <f>16+15</f>
        <v>31</v>
      </c>
      <c r="AF7" s="14">
        <v>4</v>
      </c>
      <c r="AG7" s="2">
        <v>16</v>
      </c>
      <c r="AH7" s="2">
        <f>16+7</f>
        <v>23</v>
      </c>
      <c r="AI7" s="2">
        <f>16+11</f>
        <v>27</v>
      </c>
      <c r="AK7" s="14">
        <v>5</v>
      </c>
      <c r="AL7" s="2">
        <v>9</v>
      </c>
      <c r="AM7" s="2">
        <f>16+2</f>
        <v>18</v>
      </c>
      <c r="AN7" s="2">
        <f>16+14</f>
        <v>30</v>
      </c>
    </row>
    <row r="8" spans="1:45" x14ac:dyDescent="0.2">
      <c r="A8" s="1" t="s">
        <v>5</v>
      </c>
      <c r="B8" s="14">
        <f>16+7</f>
        <v>23</v>
      </c>
      <c r="C8" s="2">
        <f>16+12</f>
        <v>28</v>
      </c>
      <c r="D8" s="2">
        <v>2</v>
      </c>
      <c r="E8" s="2">
        <v>13</v>
      </c>
      <c r="G8" s="14">
        <f>16+2</f>
        <v>18</v>
      </c>
      <c r="H8" s="2">
        <f>16+13</f>
        <v>29</v>
      </c>
      <c r="I8" s="2">
        <v>7</v>
      </c>
      <c r="J8" s="2">
        <v>12</v>
      </c>
      <c r="L8" s="14">
        <f>16+6</f>
        <v>22</v>
      </c>
      <c r="M8" s="2">
        <f>16+9</f>
        <v>25</v>
      </c>
      <c r="N8" s="2">
        <v>3</v>
      </c>
      <c r="O8" s="2">
        <v>16</v>
      </c>
      <c r="Q8" s="14">
        <f>16+3</f>
        <v>19</v>
      </c>
      <c r="R8" s="2">
        <f>16+16</f>
        <v>32</v>
      </c>
      <c r="S8" s="2">
        <v>6</v>
      </c>
      <c r="T8" s="2">
        <v>9</v>
      </c>
      <c r="V8" s="14">
        <f>16+1</f>
        <v>17</v>
      </c>
      <c r="W8" s="2">
        <f>16+14</f>
        <v>30</v>
      </c>
      <c r="X8" s="2">
        <v>8</v>
      </c>
      <c r="Y8" s="2">
        <v>11</v>
      </c>
      <c r="AA8" s="14">
        <f>16+8</f>
        <v>24</v>
      </c>
      <c r="AB8" s="2">
        <f>16+11</f>
        <v>27</v>
      </c>
      <c r="AC8" s="2">
        <v>1</v>
      </c>
      <c r="AD8" s="2">
        <v>14</v>
      </c>
      <c r="AF8" s="14">
        <f>16+4</f>
        <v>20</v>
      </c>
      <c r="AG8" s="2">
        <f>16+15</f>
        <v>31</v>
      </c>
      <c r="AH8" s="2">
        <v>5</v>
      </c>
      <c r="AI8" s="2">
        <v>10</v>
      </c>
      <c r="AK8" s="14">
        <f>16+5</f>
        <v>21</v>
      </c>
      <c r="AL8" s="2">
        <f>16+10</f>
        <v>26</v>
      </c>
      <c r="AM8" s="2">
        <v>4</v>
      </c>
      <c r="AN8" s="2">
        <v>15</v>
      </c>
    </row>
    <row r="9" spans="1:45" x14ac:dyDescent="0.2">
      <c r="A9" s="1" t="s">
        <v>6</v>
      </c>
      <c r="B9" s="14">
        <v>12</v>
      </c>
      <c r="C9" s="2">
        <f>16+5</f>
        <v>21</v>
      </c>
      <c r="D9" s="2">
        <f>16+11</f>
        <v>27</v>
      </c>
      <c r="E9" s="2">
        <v>6</v>
      </c>
      <c r="G9" s="14">
        <v>13</v>
      </c>
      <c r="H9" s="2">
        <f>16+4</f>
        <v>20</v>
      </c>
      <c r="I9" s="2">
        <f>16+14</f>
        <v>30</v>
      </c>
      <c r="J9" s="2">
        <v>3</v>
      </c>
      <c r="L9" s="14">
        <v>9</v>
      </c>
      <c r="M9" s="2">
        <f>16+8</f>
        <v>24</v>
      </c>
      <c r="N9" s="2">
        <f>16+10</f>
        <v>26</v>
      </c>
      <c r="O9" s="2">
        <v>7</v>
      </c>
      <c r="Q9" s="14">
        <v>16</v>
      </c>
      <c r="R9" s="2">
        <f>16+1</f>
        <v>17</v>
      </c>
      <c r="S9" s="2">
        <f>16+15</f>
        <v>31</v>
      </c>
      <c r="T9" s="2">
        <v>2</v>
      </c>
      <c r="V9" s="14">
        <v>14</v>
      </c>
      <c r="W9" s="2">
        <f>16+3</f>
        <v>19</v>
      </c>
      <c r="X9" s="2">
        <f>16+13</f>
        <v>29</v>
      </c>
      <c r="Y9" s="2">
        <v>4</v>
      </c>
      <c r="AA9" s="14">
        <v>11</v>
      </c>
      <c r="AB9" s="2">
        <f>16+6</f>
        <v>22</v>
      </c>
      <c r="AC9" s="2">
        <f>16+12</f>
        <v>28</v>
      </c>
      <c r="AD9" s="2">
        <v>5</v>
      </c>
      <c r="AF9" s="14">
        <v>15</v>
      </c>
      <c r="AG9" s="2">
        <f>16+2</f>
        <v>18</v>
      </c>
      <c r="AH9" s="2">
        <f>16+16</f>
        <v>32</v>
      </c>
      <c r="AI9" s="2">
        <v>1</v>
      </c>
      <c r="AK9" s="14">
        <v>10</v>
      </c>
      <c r="AL9" s="2">
        <f>16+7</f>
        <v>23</v>
      </c>
      <c r="AM9" s="2">
        <f>16+9</f>
        <v>25</v>
      </c>
      <c r="AN9" s="2">
        <v>8</v>
      </c>
    </row>
    <row r="10" spans="1:45" x14ac:dyDescent="0.2">
      <c r="A10" s="1"/>
    </row>
    <row r="12" spans="1:45" x14ac:dyDescent="0.2">
      <c r="AP12" s="8"/>
      <c r="AQ12" s="8"/>
      <c r="AR12" s="8"/>
      <c r="AS12" s="8"/>
    </row>
    <row r="13" spans="1:45" ht="15" x14ac:dyDescent="0.25">
      <c r="A13" s="1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spans="1:45" ht="15" x14ac:dyDescent="0.25">
      <c r="A14" s="1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</row>
    <row r="15" spans="1:45" ht="15" x14ac:dyDescent="0.25">
      <c r="A15" s="1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 spans="1:45" ht="15" x14ac:dyDescent="0.25">
      <c r="A16" s="1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</row>
    <row r="17" spans="1:45" ht="15" x14ac:dyDescent="0.25">
      <c r="A17" s="1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</row>
    <row r="18" spans="1:45" ht="15" x14ac:dyDescent="0.25">
      <c r="A18" s="1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</row>
    <row r="19" spans="1:45" ht="15" x14ac:dyDescent="0.25">
      <c r="A19" s="1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</row>
    <row r="20" spans="1:45" ht="15" x14ac:dyDescent="0.25">
      <c r="A20" s="1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</row>
    <row r="21" spans="1:45" ht="15" x14ac:dyDescent="0.25">
      <c r="A21" s="1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</row>
    <row r="22" spans="1:45" ht="15" x14ac:dyDescent="0.25">
      <c r="A22" s="1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</row>
    <row r="23" spans="1:45" ht="15" x14ac:dyDescent="0.25">
      <c r="A23" s="1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</row>
    <row r="24" spans="1:45" ht="15" x14ac:dyDescent="0.25">
      <c r="A24" s="1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</row>
    <row r="25" spans="1:45" ht="15" x14ac:dyDescent="0.25">
      <c r="A25" s="1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</row>
    <row r="26" spans="1:45" ht="15" x14ac:dyDescent="0.25">
      <c r="A26" s="1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</row>
    <row r="27" spans="1:45" ht="15" x14ac:dyDescent="0.25">
      <c r="A27" s="1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</row>
    <row r="28" spans="1:45" ht="15" x14ac:dyDescent="0.25">
      <c r="A28" s="1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</row>
    <row r="29" spans="1:45" ht="15" x14ac:dyDescent="0.25">
      <c r="A29" s="1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</row>
    <row r="30" spans="1:45" ht="15" x14ac:dyDescent="0.25">
      <c r="A30" s="1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</row>
    <row r="31" spans="1:45" ht="15" x14ac:dyDescent="0.25">
      <c r="A31" s="1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</row>
    <row r="32" spans="1:45" ht="15" x14ac:dyDescent="0.25">
      <c r="A32" s="1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</row>
    <row r="33" spans="1:45" ht="15" x14ac:dyDescent="0.25">
      <c r="A33" s="1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</row>
    <row r="34" spans="1:45" ht="15" x14ac:dyDescent="0.25">
      <c r="A34" s="1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</row>
    <row r="35" spans="1:45" ht="15" x14ac:dyDescent="0.25">
      <c r="A35" s="1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</row>
    <row r="36" spans="1:45" ht="15" x14ac:dyDescent="0.25">
      <c r="A36" s="1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</row>
    <row r="37" spans="1:45" ht="15" x14ac:dyDescent="0.25">
      <c r="A37" s="1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</row>
    <row r="38" spans="1:45" ht="15" x14ac:dyDescent="0.25">
      <c r="A38" s="1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</row>
    <row r="39" spans="1:45" ht="15" x14ac:dyDescent="0.25">
      <c r="A39" s="1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</row>
    <row r="40" spans="1:45" ht="15" x14ac:dyDescent="0.25">
      <c r="A40" s="1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</row>
    <row r="41" spans="1:45" ht="15" x14ac:dyDescent="0.25">
      <c r="A41" s="1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</row>
    <row r="42" spans="1:45" ht="15" x14ac:dyDescent="0.25">
      <c r="A42" s="1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</row>
    <row r="43" spans="1:45" ht="15" x14ac:dyDescent="0.25">
      <c r="A43" s="1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</row>
    <row r="44" spans="1:45" ht="15" x14ac:dyDescent="0.25">
      <c r="A44" s="1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</row>
  </sheetData>
  <mergeCells count="8">
    <mergeCell ref="AF1:AI1"/>
    <mergeCell ref="AK1:AN1"/>
    <mergeCell ref="B1:E1"/>
    <mergeCell ref="G1:J1"/>
    <mergeCell ref="L1:O1"/>
    <mergeCell ref="Q1:T1"/>
    <mergeCell ref="V1:Y1"/>
    <mergeCell ref="AA1:A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X48"/>
  <sheetViews>
    <sheetView zoomScaleNormal="100" workbookViewId="0"/>
  </sheetViews>
  <sheetFormatPr defaultColWidth="5.140625" defaultRowHeight="12.75" x14ac:dyDescent="0.2"/>
  <cols>
    <col min="1" max="1" width="8.28515625" style="2" customWidth="1"/>
    <col min="2" max="45" width="3.7109375" style="2" customWidth="1"/>
    <col min="46" max="16384" width="5.140625" style="2"/>
  </cols>
  <sheetData>
    <row r="1" spans="1:50" s="1" customFormat="1" x14ac:dyDescent="0.2">
      <c r="B1" s="18" t="s">
        <v>7</v>
      </c>
      <c r="C1" s="18"/>
      <c r="D1" s="18"/>
      <c r="E1" s="18"/>
      <c r="F1" s="8"/>
      <c r="G1" s="18" t="s">
        <v>8</v>
      </c>
      <c r="H1" s="18"/>
      <c r="I1" s="18"/>
      <c r="J1" s="18"/>
      <c r="K1" s="8"/>
      <c r="L1" s="18" t="s">
        <v>9</v>
      </c>
      <c r="M1" s="18"/>
      <c r="N1" s="18"/>
      <c r="O1" s="18"/>
      <c r="P1" s="8"/>
      <c r="Q1" s="18" t="s">
        <v>10</v>
      </c>
      <c r="R1" s="18"/>
      <c r="S1" s="18"/>
      <c r="T1" s="18"/>
      <c r="U1" s="8"/>
      <c r="V1" s="18" t="s">
        <v>11</v>
      </c>
      <c r="W1" s="18"/>
      <c r="X1" s="18"/>
      <c r="Y1" s="18"/>
      <c r="Z1" s="8"/>
      <c r="AA1" s="18" t="s">
        <v>12</v>
      </c>
      <c r="AB1" s="18"/>
      <c r="AC1" s="18"/>
      <c r="AD1" s="18"/>
      <c r="AE1" s="8"/>
      <c r="AF1" s="18" t="s">
        <v>13</v>
      </c>
      <c r="AG1" s="18"/>
      <c r="AH1" s="18"/>
      <c r="AI1" s="18"/>
      <c r="AJ1" s="8"/>
      <c r="AK1" s="18" t="s">
        <v>14</v>
      </c>
      <c r="AL1" s="18"/>
      <c r="AM1" s="18"/>
      <c r="AN1" s="18"/>
      <c r="AO1" s="8"/>
      <c r="AP1" s="18" t="s">
        <v>15</v>
      </c>
      <c r="AQ1" s="18"/>
      <c r="AR1" s="18"/>
      <c r="AS1" s="18"/>
    </row>
    <row r="2" spans="1:50" s="8" customFormat="1" x14ac:dyDescent="0.2">
      <c r="B2" s="8" t="s">
        <v>25</v>
      </c>
      <c r="C2" s="8" t="s">
        <v>26</v>
      </c>
      <c r="D2" s="8" t="s">
        <v>27</v>
      </c>
      <c r="E2" s="8" t="s">
        <v>28</v>
      </c>
      <c r="G2" s="8" t="s">
        <v>25</v>
      </c>
      <c r="H2" s="8" t="s">
        <v>26</v>
      </c>
      <c r="I2" s="8" t="s">
        <v>27</v>
      </c>
      <c r="J2" s="8" t="s">
        <v>28</v>
      </c>
      <c r="L2" s="8" t="s">
        <v>25</v>
      </c>
      <c r="M2" s="8" t="s">
        <v>26</v>
      </c>
      <c r="N2" s="8" t="s">
        <v>27</v>
      </c>
      <c r="O2" s="8" t="s">
        <v>28</v>
      </c>
      <c r="Q2" s="8" t="s">
        <v>25</v>
      </c>
      <c r="R2" s="8" t="s">
        <v>26</v>
      </c>
      <c r="S2" s="8" t="s">
        <v>27</v>
      </c>
      <c r="T2" s="8" t="s">
        <v>28</v>
      </c>
      <c r="V2" s="8" t="s">
        <v>25</v>
      </c>
      <c r="W2" s="8" t="s">
        <v>26</v>
      </c>
      <c r="X2" s="8" t="s">
        <v>27</v>
      </c>
      <c r="Y2" s="8" t="s">
        <v>28</v>
      </c>
      <c r="AA2" s="8" t="s">
        <v>25</v>
      </c>
      <c r="AB2" s="8" t="s">
        <v>26</v>
      </c>
      <c r="AC2" s="8" t="s">
        <v>27</v>
      </c>
      <c r="AD2" s="8" t="s">
        <v>28</v>
      </c>
      <c r="AF2" s="8" t="s">
        <v>25</v>
      </c>
      <c r="AG2" s="8" t="s">
        <v>26</v>
      </c>
      <c r="AH2" s="8" t="s">
        <v>27</v>
      </c>
      <c r="AI2" s="8" t="s">
        <v>28</v>
      </c>
      <c r="AK2" s="8" t="s">
        <v>25</v>
      </c>
      <c r="AL2" s="8" t="s">
        <v>26</v>
      </c>
      <c r="AM2" s="8" t="s">
        <v>27</v>
      </c>
      <c r="AN2" s="8" t="s">
        <v>28</v>
      </c>
      <c r="AP2" s="8" t="s">
        <v>25</v>
      </c>
      <c r="AQ2" s="8" t="s">
        <v>26</v>
      </c>
      <c r="AR2" s="8" t="s">
        <v>27</v>
      </c>
      <c r="AS2" s="8" t="s">
        <v>28</v>
      </c>
    </row>
    <row r="3" spans="1:50" x14ac:dyDescent="0.2">
      <c r="A3" s="1" t="s">
        <v>0</v>
      </c>
      <c r="B3" s="14">
        <v>1</v>
      </c>
      <c r="C3" s="2">
        <v>10</v>
      </c>
      <c r="D3" s="2">
        <f>18+1</f>
        <v>19</v>
      </c>
      <c r="E3" s="2">
        <f>18+10</f>
        <v>28</v>
      </c>
      <c r="G3" s="14">
        <v>9</v>
      </c>
      <c r="H3" s="2">
        <v>18</v>
      </c>
      <c r="I3" s="2">
        <f>18+9</f>
        <v>27</v>
      </c>
      <c r="J3" s="2">
        <f>18+18</f>
        <v>36</v>
      </c>
      <c r="L3" s="14">
        <v>5</v>
      </c>
      <c r="M3" s="2">
        <v>14</v>
      </c>
      <c r="N3" s="2">
        <f>18+5</f>
        <v>23</v>
      </c>
      <c r="O3" s="2">
        <f>18+14</f>
        <v>32</v>
      </c>
      <c r="Q3" s="14">
        <v>3</v>
      </c>
      <c r="R3" s="2">
        <v>12</v>
      </c>
      <c r="S3" s="2">
        <f>18+3</f>
        <v>21</v>
      </c>
      <c r="T3" s="2">
        <f>18+12</f>
        <v>30</v>
      </c>
      <c r="V3" s="14">
        <v>8</v>
      </c>
      <c r="W3" s="2">
        <v>17</v>
      </c>
      <c r="X3" s="2">
        <f>18+8</f>
        <v>26</v>
      </c>
      <c r="Y3" s="2">
        <f>18+17</f>
        <v>35</v>
      </c>
      <c r="AA3" s="14">
        <v>4</v>
      </c>
      <c r="AB3" s="2">
        <v>13</v>
      </c>
      <c r="AC3" s="2">
        <f>18+4</f>
        <v>22</v>
      </c>
      <c r="AD3" s="2">
        <f>18+13</f>
        <v>31</v>
      </c>
      <c r="AF3" s="14">
        <v>2</v>
      </c>
      <c r="AG3" s="2">
        <v>11</v>
      </c>
      <c r="AH3" s="2">
        <f>18+2</f>
        <v>20</v>
      </c>
      <c r="AI3" s="2">
        <f>18+11</f>
        <v>29</v>
      </c>
      <c r="AK3" s="14">
        <v>7</v>
      </c>
      <c r="AL3" s="2">
        <v>16</v>
      </c>
      <c r="AM3" s="2">
        <f>18+7</f>
        <v>25</v>
      </c>
      <c r="AN3" s="2">
        <f>18+16</f>
        <v>34</v>
      </c>
      <c r="AP3" s="14">
        <v>6</v>
      </c>
      <c r="AQ3" s="2">
        <v>15</v>
      </c>
      <c r="AR3" s="2">
        <f>18+6</f>
        <v>24</v>
      </c>
      <c r="AS3" s="2">
        <f>18+15</f>
        <v>33</v>
      </c>
    </row>
    <row r="4" spans="1:50" x14ac:dyDescent="0.2">
      <c r="A4" s="1" t="s">
        <v>1</v>
      </c>
      <c r="B4" s="14">
        <f>18+7</f>
        <v>25</v>
      </c>
      <c r="C4" s="2">
        <f>18+15</f>
        <v>33</v>
      </c>
      <c r="D4" s="2">
        <v>9</v>
      </c>
      <c r="E4" s="2">
        <v>17</v>
      </c>
      <c r="G4" s="14">
        <f>18+6</f>
        <v>24</v>
      </c>
      <c r="H4" s="2">
        <f>18+11</f>
        <v>29</v>
      </c>
      <c r="I4" s="2">
        <v>5</v>
      </c>
      <c r="J4" s="2">
        <v>13</v>
      </c>
      <c r="L4" s="14">
        <f>18+2</f>
        <v>20</v>
      </c>
      <c r="M4" s="2">
        <f>18+16</f>
        <v>34</v>
      </c>
      <c r="N4" s="2">
        <v>1</v>
      </c>
      <c r="O4" s="2">
        <v>12</v>
      </c>
      <c r="Q4" s="14">
        <f>18+9</f>
        <v>27</v>
      </c>
      <c r="R4" s="2">
        <f>18+14</f>
        <v>32</v>
      </c>
      <c r="S4" s="2">
        <v>8</v>
      </c>
      <c r="T4" s="2">
        <v>16</v>
      </c>
      <c r="V4" s="14">
        <f>18+5</f>
        <v>23</v>
      </c>
      <c r="W4" s="2">
        <f>18+10</f>
        <v>28</v>
      </c>
      <c r="X4" s="2">
        <v>4</v>
      </c>
      <c r="Y4" s="2">
        <v>15</v>
      </c>
      <c r="AA4" s="14">
        <f>18+1</f>
        <v>19</v>
      </c>
      <c r="AB4" s="2">
        <f>18+18</f>
        <v>36</v>
      </c>
      <c r="AC4" s="2">
        <v>3</v>
      </c>
      <c r="AD4" s="2">
        <v>11</v>
      </c>
      <c r="AF4" s="14">
        <f>18+8</f>
        <v>26</v>
      </c>
      <c r="AG4" s="2">
        <f>18+13</f>
        <v>31</v>
      </c>
      <c r="AH4" s="2">
        <v>7</v>
      </c>
      <c r="AI4" s="2">
        <v>18</v>
      </c>
      <c r="AK4" s="14">
        <f>18+4</f>
        <v>22</v>
      </c>
      <c r="AL4" s="2">
        <f>18+12</f>
        <v>30</v>
      </c>
      <c r="AM4" s="2">
        <v>6</v>
      </c>
      <c r="AN4" s="2">
        <v>14</v>
      </c>
      <c r="AP4" s="14">
        <f>18+3</f>
        <v>21</v>
      </c>
      <c r="AQ4" s="2">
        <f>18+17</f>
        <v>35</v>
      </c>
      <c r="AR4" s="2">
        <v>2</v>
      </c>
      <c r="AS4" s="2">
        <v>10</v>
      </c>
    </row>
    <row r="5" spans="1:50" x14ac:dyDescent="0.2">
      <c r="A5" s="1" t="s">
        <v>2</v>
      </c>
      <c r="B5" s="14">
        <v>15</v>
      </c>
      <c r="C5" s="2">
        <f>18+4</f>
        <v>22</v>
      </c>
      <c r="D5" s="2">
        <f>18+17</f>
        <v>35</v>
      </c>
      <c r="E5" s="2">
        <v>5</v>
      </c>
      <c r="G5" s="14">
        <v>11</v>
      </c>
      <c r="H5" s="2">
        <f>18+3</f>
        <v>21</v>
      </c>
      <c r="I5" s="2">
        <f>18+13</f>
        <v>31</v>
      </c>
      <c r="J5" s="2">
        <v>1</v>
      </c>
      <c r="L5" s="14">
        <v>16</v>
      </c>
      <c r="M5" s="2">
        <f>18+8</f>
        <v>26</v>
      </c>
      <c r="N5" s="2">
        <f>18+12</f>
        <v>30</v>
      </c>
      <c r="O5" s="2">
        <v>9</v>
      </c>
      <c r="Q5" s="14">
        <v>14</v>
      </c>
      <c r="R5" s="2">
        <f>18+6</f>
        <v>24</v>
      </c>
      <c r="S5" s="2">
        <f>18+16</f>
        <v>34</v>
      </c>
      <c r="T5" s="2">
        <v>4</v>
      </c>
      <c r="V5" s="14">
        <v>10</v>
      </c>
      <c r="W5" s="2">
        <f>18+2</f>
        <v>20</v>
      </c>
      <c r="X5" s="2">
        <f>18+15</f>
        <v>33</v>
      </c>
      <c r="Y5" s="2">
        <v>3</v>
      </c>
      <c r="AA5" s="14">
        <v>18</v>
      </c>
      <c r="AB5" s="2">
        <f>18+7</f>
        <v>25</v>
      </c>
      <c r="AC5" s="2">
        <f>18+11</f>
        <v>29</v>
      </c>
      <c r="AD5" s="2">
        <v>8</v>
      </c>
      <c r="AF5" s="14">
        <v>13</v>
      </c>
      <c r="AG5" s="2">
        <f>18+5</f>
        <v>23</v>
      </c>
      <c r="AH5" s="2">
        <f>18+18</f>
        <v>36</v>
      </c>
      <c r="AI5" s="2">
        <v>6</v>
      </c>
      <c r="AK5" s="14">
        <v>12</v>
      </c>
      <c r="AL5" s="2">
        <f>18+1</f>
        <v>19</v>
      </c>
      <c r="AM5" s="2">
        <f>18+14</f>
        <v>32</v>
      </c>
      <c r="AN5" s="2">
        <v>2</v>
      </c>
      <c r="AP5" s="14">
        <v>17</v>
      </c>
      <c r="AQ5" s="2">
        <f>18+9</f>
        <v>27</v>
      </c>
      <c r="AR5" s="2">
        <f>18+10</f>
        <v>28</v>
      </c>
      <c r="AS5" s="2">
        <v>7</v>
      </c>
    </row>
    <row r="6" spans="1:50" x14ac:dyDescent="0.2">
      <c r="A6" s="1" t="s">
        <v>3</v>
      </c>
      <c r="B6" s="14">
        <f>18+14</f>
        <v>32</v>
      </c>
      <c r="C6" s="2">
        <v>3</v>
      </c>
      <c r="D6" s="2">
        <v>18</v>
      </c>
      <c r="E6" s="2">
        <f>18+6</f>
        <v>24</v>
      </c>
      <c r="G6" s="14">
        <f>18+10</f>
        <v>28</v>
      </c>
      <c r="H6" s="2">
        <v>8</v>
      </c>
      <c r="I6" s="2">
        <v>14</v>
      </c>
      <c r="J6" s="2">
        <f>18+2</f>
        <v>20</v>
      </c>
      <c r="L6" s="14">
        <f>18+18</f>
        <v>36</v>
      </c>
      <c r="M6" s="2">
        <v>4</v>
      </c>
      <c r="N6" s="2">
        <v>10</v>
      </c>
      <c r="O6" s="2">
        <f>18+7</f>
        <v>25</v>
      </c>
      <c r="Q6" s="14">
        <f>18+13</f>
        <v>31</v>
      </c>
      <c r="R6" s="2">
        <v>2</v>
      </c>
      <c r="S6" s="2">
        <v>17</v>
      </c>
      <c r="T6" s="2">
        <f>18+5</f>
        <v>23</v>
      </c>
      <c r="V6" s="14">
        <f>18+12</f>
        <v>30</v>
      </c>
      <c r="W6" s="2">
        <v>7</v>
      </c>
      <c r="X6" s="2">
        <v>13</v>
      </c>
      <c r="Y6" s="2">
        <f>18+1</f>
        <v>19</v>
      </c>
      <c r="AA6" s="14">
        <f>18+17</f>
        <v>35</v>
      </c>
      <c r="AB6" s="2">
        <v>6</v>
      </c>
      <c r="AC6" s="2">
        <v>12</v>
      </c>
      <c r="AD6" s="2">
        <f>18+9</f>
        <v>27</v>
      </c>
      <c r="AF6" s="14">
        <f>18+15</f>
        <v>33</v>
      </c>
      <c r="AG6" s="2">
        <v>1</v>
      </c>
      <c r="AH6" s="2">
        <v>16</v>
      </c>
      <c r="AI6" s="2">
        <f>18+4</f>
        <v>22</v>
      </c>
      <c r="AK6" s="14">
        <f>18+11</f>
        <v>29</v>
      </c>
      <c r="AL6" s="2">
        <v>9</v>
      </c>
      <c r="AM6" s="2">
        <v>15</v>
      </c>
      <c r="AN6" s="2">
        <f>18+3</f>
        <v>21</v>
      </c>
      <c r="AP6" s="14">
        <f>18+16</f>
        <v>34</v>
      </c>
      <c r="AQ6" s="2">
        <v>5</v>
      </c>
      <c r="AR6" s="2">
        <v>11</v>
      </c>
      <c r="AS6" s="2">
        <f>18+8</f>
        <v>26</v>
      </c>
    </row>
    <row r="7" spans="1:50" x14ac:dyDescent="0.2">
      <c r="A7" s="1" t="s">
        <v>4</v>
      </c>
      <c r="B7" s="14">
        <v>8</v>
      </c>
      <c r="C7" s="2">
        <v>13</v>
      </c>
      <c r="D7" s="2">
        <f>18+3</f>
        <v>21</v>
      </c>
      <c r="E7" s="2">
        <f>18+16</f>
        <v>34</v>
      </c>
      <c r="G7" s="14">
        <v>4</v>
      </c>
      <c r="H7" s="2">
        <v>12</v>
      </c>
      <c r="I7" s="2">
        <f>18+8</f>
        <v>26</v>
      </c>
      <c r="J7" s="2">
        <f>18+15</f>
        <v>33</v>
      </c>
      <c r="L7" s="14">
        <v>3</v>
      </c>
      <c r="M7" s="2">
        <v>17</v>
      </c>
      <c r="N7" s="2">
        <f>18+4</f>
        <v>22</v>
      </c>
      <c r="O7" s="2">
        <f>18+11</f>
        <v>29</v>
      </c>
      <c r="Q7" s="14">
        <v>7</v>
      </c>
      <c r="R7" s="2">
        <v>15</v>
      </c>
      <c r="S7" s="2">
        <f>18+2</f>
        <v>20</v>
      </c>
      <c r="T7" s="2">
        <f>18+18</f>
        <v>36</v>
      </c>
      <c r="V7" s="14">
        <v>6</v>
      </c>
      <c r="W7" s="2">
        <v>11</v>
      </c>
      <c r="X7" s="2">
        <f>18+7</f>
        <v>25</v>
      </c>
      <c r="Y7" s="2">
        <f>18+14</f>
        <v>32</v>
      </c>
      <c r="AA7" s="14">
        <v>2</v>
      </c>
      <c r="AB7" s="2">
        <v>16</v>
      </c>
      <c r="AC7" s="2">
        <f>18+6</f>
        <v>24</v>
      </c>
      <c r="AD7" s="2">
        <f>18+10</f>
        <v>28</v>
      </c>
      <c r="AF7" s="14">
        <v>9</v>
      </c>
      <c r="AG7" s="2">
        <v>14</v>
      </c>
      <c r="AH7" s="2">
        <f>18+1</f>
        <v>19</v>
      </c>
      <c r="AI7" s="2">
        <f>18+17</f>
        <v>35</v>
      </c>
      <c r="AK7" s="14">
        <v>5</v>
      </c>
      <c r="AL7" s="2">
        <v>10</v>
      </c>
      <c r="AM7" s="2">
        <f>18+9</f>
        <v>27</v>
      </c>
      <c r="AN7" s="2">
        <f>18+13</f>
        <v>31</v>
      </c>
      <c r="AP7" s="14">
        <v>1</v>
      </c>
      <c r="AQ7" s="2">
        <v>18</v>
      </c>
      <c r="AR7" s="2">
        <f>18+5</f>
        <v>23</v>
      </c>
      <c r="AS7" s="2">
        <f>18+12</f>
        <v>30</v>
      </c>
    </row>
    <row r="8" spans="1:50" x14ac:dyDescent="0.2">
      <c r="A8" s="1" t="s">
        <v>5</v>
      </c>
      <c r="B8" s="14">
        <f>18+9</f>
        <v>27</v>
      </c>
      <c r="C8" s="2">
        <f>18+12</f>
        <v>30</v>
      </c>
      <c r="D8" s="2">
        <v>4</v>
      </c>
      <c r="E8" s="2">
        <v>11</v>
      </c>
      <c r="G8" s="14">
        <f>18+5</f>
        <v>23</v>
      </c>
      <c r="H8" s="2">
        <f>18+17</f>
        <v>35</v>
      </c>
      <c r="I8" s="2">
        <v>3</v>
      </c>
      <c r="J8" s="2">
        <v>16</v>
      </c>
      <c r="L8" s="14">
        <f>18+1</f>
        <v>19</v>
      </c>
      <c r="M8" s="2">
        <f>18+13</f>
        <v>31</v>
      </c>
      <c r="N8" s="2">
        <v>8</v>
      </c>
      <c r="O8" s="2">
        <v>15</v>
      </c>
      <c r="Q8" s="14">
        <f>18+8</f>
        <v>26</v>
      </c>
      <c r="R8" s="2">
        <f>18+11</f>
        <v>29</v>
      </c>
      <c r="S8" s="2">
        <v>6</v>
      </c>
      <c r="T8" s="2">
        <v>10</v>
      </c>
      <c r="V8" s="14">
        <f>18+4</f>
        <v>22</v>
      </c>
      <c r="W8" s="2">
        <f>18+16</f>
        <v>34</v>
      </c>
      <c r="X8" s="2">
        <v>2</v>
      </c>
      <c r="Y8" s="2">
        <v>18</v>
      </c>
      <c r="AA8" s="14">
        <f>18+3</f>
        <v>21</v>
      </c>
      <c r="AB8" s="2">
        <f>18+15</f>
        <v>33</v>
      </c>
      <c r="AC8" s="2">
        <v>7</v>
      </c>
      <c r="AD8" s="2">
        <v>14</v>
      </c>
      <c r="AF8" s="14">
        <f>18+7</f>
        <v>25</v>
      </c>
      <c r="AG8" s="2">
        <f>18+10</f>
        <v>28</v>
      </c>
      <c r="AH8" s="2">
        <v>5</v>
      </c>
      <c r="AI8" s="2">
        <v>12</v>
      </c>
      <c r="AK8" s="14">
        <f>18+6</f>
        <v>24</v>
      </c>
      <c r="AL8" s="2">
        <f>18+18</f>
        <v>36</v>
      </c>
      <c r="AM8" s="2">
        <v>1</v>
      </c>
      <c r="AN8" s="2">
        <v>17</v>
      </c>
      <c r="AP8" s="14">
        <f>18+2</f>
        <v>20</v>
      </c>
      <c r="AQ8" s="2">
        <f>18+14</f>
        <v>32</v>
      </c>
      <c r="AR8" s="2">
        <v>9</v>
      </c>
      <c r="AS8" s="2">
        <v>13</v>
      </c>
    </row>
    <row r="9" spans="1:50" x14ac:dyDescent="0.2">
      <c r="A9" s="1" t="s">
        <v>6</v>
      </c>
      <c r="B9" s="14">
        <v>14</v>
      </c>
      <c r="C9" s="2">
        <f>18+8</f>
        <v>26</v>
      </c>
      <c r="D9" s="2">
        <f>18+18</f>
        <v>36</v>
      </c>
      <c r="E9" s="2">
        <v>2</v>
      </c>
      <c r="G9" s="14">
        <v>10</v>
      </c>
      <c r="H9" s="2">
        <f>18+4</f>
        <v>22</v>
      </c>
      <c r="I9" s="2">
        <f>18+14</f>
        <v>32</v>
      </c>
      <c r="J9" s="2">
        <v>7</v>
      </c>
      <c r="L9" s="14">
        <v>18</v>
      </c>
      <c r="M9" s="2">
        <f>18+3</f>
        <v>21</v>
      </c>
      <c r="N9" s="2">
        <f>18+10</f>
        <v>28</v>
      </c>
      <c r="O9" s="2">
        <v>6</v>
      </c>
      <c r="Q9" s="14">
        <v>13</v>
      </c>
      <c r="R9" s="2">
        <f>18+7</f>
        <v>25</v>
      </c>
      <c r="S9" s="2">
        <f>18+17</f>
        <v>35</v>
      </c>
      <c r="T9" s="2">
        <v>1</v>
      </c>
      <c r="V9" s="14">
        <v>12</v>
      </c>
      <c r="W9" s="2">
        <f>18+6</f>
        <v>24</v>
      </c>
      <c r="X9" s="2">
        <f>18+13</f>
        <v>31</v>
      </c>
      <c r="Y9" s="2">
        <v>9</v>
      </c>
      <c r="AA9" s="14">
        <v>17</v>
      </c>
      <c r="AB9" s="2">
        <f>18+2</f>
        <v>20</v>
      </c>
      <c r="AC9" s="2">
        <f>18+12</f>
        <v>30</v>
      </c>
      <c r="AD9" s="2">
        <v>5</v>
      </c>
      <c r="AF9" s="14">
        <v>15</v>
      </c>
      <c r="AG9" s="2">
        <f>18+9</f>
        <v>27</v>
      </c>
      <c r="AH9" s="2">
        <f>18+16</f>
        <v>34</v>
      </c>
      <c r="AI9" s="2">
        <v>3</v>
      </c>
      <c r="AK9" s="14">
        <v>11</v>
      </c>
      <c r="AL9" s="2">
        <f>18+5</f>
        <v>23</v>
      </c>
      <c r="AM9" s="2">
        <f>18+15</f>
        <v>33</v>
      </c>
      <c r="AN9" s="2">
        <v>8</v>
      </c>
      <c r="AP9" s="14">
        <v>16</v>
      </c>
      <c r="AQ9" s="2">
        <f>18+1</f>
        <v>19</v>
      </c>
      <c r="AR9" s="2">
        <f>18+11</f>
        <v>29</v>
      </c>
      <c r="AS9" s="2">
        <v>4</v>
      </c>
    </row>
    <row r="10" spans="1:50" x14ac:dyDescent="0.2">
      <c r="A10" s="1"/>
    </row>
    <row r="11" spans="1:50" x14ac:dyDescent="0.2">
      <c r="A11" s="1"/>
    </row>
    <row r="12" spans="1:50" x14ac:dyDescent="0.2">
      <c r="AU12" s="8"/>
      <c r="AV12" s="8"/>
      <c r="AW12" s="8"/>
      <c r="AX12" s="8"/>
    </row>
    <row r="13" spans="1:50" ht="15" x14ac:dyDescent="0.25">
      <c r="A13" s="1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</row>
    <row r="14" spans="1:50" ht="15" x14ac:dyDescent="0.25">
      <c r="A14" s="1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</row>
    <row r="15" spans="1:50" ht="15" x14ac:dyDescent="0.25">
      <c r="A15" s="1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</row>
    <row r="16" spans="1:50" ht="15" x14ac:dyDescent="0.25">
      <c r="A16" s="1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</row>
    <row r="17" spans="1:50" ht="15" x14ac:dyDescent="0.25">
      <c r="A17" s="1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</row>
    <row r="18" spans="1:50" ht="15" x14ac:dyDescent="0.25">
      <c r="A18" s="1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</row>
    <row r="19" spans="1:50" ht="15" x14ac:dyDescent="0.25">
      <c r="A19" s="1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</row>
    <row r="20" spans="1:50" ht="15" x14ac:dyDescent="0.25">
      <c r="A20" s="1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</row>
    <row r="21" spans="1:50" ht="15" x14ac:dyDescent="0.25">
      <c r="A21" s="1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</row>
    <row r="22" spans="1:50" ht="15" x14ac:dyDescent="0.25">
      <c r="A22" s="1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</row>
    <row r="23" spans="1:50" ht="15" x14ac:dyDescent="0.25">
      <c r="A23" s="1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</row>
    <row r="24" spans="1:50" ht="15" x14ac:dyDescent="0.25">
      <c r="A24" s="1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</row>
    <row r="25" spans="1:50" ht="15" x14ac:dyDescent="0.25">
      <c r="A25" s="1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</row>
    <row r="26" spans="1:50" ht="15" x14ac:dyDescent="0.25">
      <c r="A26" s="1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</row>
    <row r="27" spans="1:50" ht="15" x14ac:dyDescent="0.25">
      <c r="A27" s="1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</row>
    <row r="28" spans="1:50" ht="15" x14ac:dyDescent="0.25">
      <c r="A28" s="1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</row>
    <row r="29" spans="1:50" ht="15" x14ac:dyDescent="0.25">
      <c r="A29" s="1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</row>
    <row r="30" spans="1:50" ht="15" x14ac:dyDescent="0.25">
      <c r="A30" s="1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</row>
    <row r="31" spans="1:50" ht="15" x14ac:dyDescent="0.25">
      <c r="A31" s="1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</row>
    <row r="32" spans="1:50" ht="15" x14ac:dyDescent="0.25">
      <c r="A32" s="1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</row>
    <row r="33" spans="1:50" ht="15" x14ac:dyDescent="0.25">
      <c r="A33" s="1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</row>
    <row r="34" spans="1:50" ht="15" x14ac:dyDescent="0.25">
      <c r="A34" s="1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</row>
    <row r="35" spans="1:50" ht="15" x14ac:dyDescent="0.25">
      <c r="A35" s="1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</row>
    <row r="36" spans="1:50" ht="15" x14ac:dyDescent="0.25">
      <c r="A36" s="1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</row>
    <row r="37" spans="1:50" ht="15" x14ac:dyDescent="0.25">
      <c r="A37" s="1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</row>
    <row r="38" spans="1:50" ht="15" x14ac:dyDescent="0.25">
      <c r="A38" s="1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</row>
    <row r="39" spans="1:50" ht="15" x14ac:dyDescent="0.25">
      <c r="A39" s="1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</row>
    <row r="40" spans="1:50" ht="15" x14ac:dyDescent="0.25">
      <c r="A40" s="1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</row>
    <row r="41" spans="1:50" ht="15" x14ac:dyDescent="0.25">
      <c r="A41" s="1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</row>
    <row r="42" spans="1:50" ht="15" x14ac:dyDescent="0.25">
      <c r="A42" s="1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</row>
    <row r="43" spans="1:50" ht="15" x14ac:dyDescent="0.25">
      <c r="A43" s="1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</row>
    <row r="44" spans="1:50" ht="15" x14ac:dyDescent="0.25">
      <c r="A44" s="1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</row>
    <row r="45" spans="1:50" ht="15" x14ac:dyDescent="0.25">
      <c r="A45" s="1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</row>
    <row r="46" spans="1:50" ht="15" x14ac:dyDescent="0.25">
      <c r="A46" s="1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</row>
    <row r="47" spans="1:50" ht="15" x14ac:dyDescent="0.25">
      <c r="A47" s="1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</row>
    <row r="48" spans="1:50" ht="15" x14ac:dyDescent="0.25">
      <c r="A48" s="1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</row>
  </sheetData>
  <mergeCells count="9">
    <mergeCell ref="AF1:AI1"/>
    <mergeCell ref="AK1:AN1"/>
    <mergeCell ref="AP1:AS1"/>
    <mergeCell ref="B1:E1"/>
    <mergeCell ref="G1:J1"/>
    <mergeCell ref="L1:O1"/>
    <mergeCell ref="Q1:T1"/>
    <mergeCell ref="V1:Y1"/>
    <mergeCell ref="AA1:A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BC52"/>
  <sheetViews>
    <sheetView zoomScaleNormal="100" workbookViewId="0"/>
  </sheetViews>
  <sheetFormatPr defaultColWidth="4.28515625" defaultRowHeight="12.75" x14ac:dyDescent="0.2"/>
  <cols>
    <col min="1" max="1" width="8.7109375" style="2" customWidth="1"/>
    <col min="2" max="5" width="4" style="2" bestFit="1" customWidth="1"/>
    <col min="6" max="6" width="4" style="2" customWidth="1"/>
    <col min="7" max="10" width="4" style="2" bestFit="1" customWidth="1"/>
    <col min="11" max="11" width="4" style="2" customWidth="1"/>
    <col min="12" max="15" width="4" style="2" bestFit="1" customWidth="1"/>
    <col min="16" max="16" width="4" style="2" customWidth="1"/>
    <col min="17" max="20" width="4" style="2" bestFit="1" customWidth="1"/>
    <col min="21" max="21" width="4" style="2" customWidth="1"/>
    <col min="22" max="25" width="4" style="2" bestFit="1" customWidth="1"/>
    <col min="26" max="26" width="4" style="2" customWidth="1"/>
    <col min="27" max="30" width="4" style="2" bestFit="1" customWidth="1"/>
    <col min="31" max="31" width="4" style="2" customWidth="1"/>
    <col min="32" max="35" width="4" style="2" bestFit="1" customWidth="1"/>
    <col min="36" max="36" width="4" style="2" customWidth="1"/>
    <col min="37" max="40" width="4" style="2" bestFit="1" customWidth="1"/>
    <col min="41" max="41" width="4" style="2" customWidth="1"/>
    <col min="42" max="42" width="3" style="2" bestFit="1" customWidth="1"/>
    <col min="43" max="43" width="4" style="2" bestFit="1" customWidth="1"/>
    <col min="44" max="44" width="3" style="2" bestFit="1" customWidth="1"/>
    <col min="45" max="45" width="4" style="2" bestFit="1" customWidth="1"/>
    <col min="46" max="46" width="4" style="2" customWidth="1"/>
    <col min="47" max="50" width="4" style="2" bestFit="1" customWidth="1"/>
    <col min="51" max="16384" width="4.28515625" style="2"/>
  </cols>
  <sheetData>
    <row r="1" spans="1:55" s="1" customFormat="1" x14ac:dyDescent="0.2">
      <c r="B1" s="18" t="s">
        <v>7</v>
      </c>
      <c r="C1" s="18"/>
      <c r="D1" s="18"/>
      <c r="E1" s="18"/>
      <c r="F1" s="15"/>
      <c r="G1" s="18" t="s">
        <v>8</v>
      </c>
      <c r="H1" s="18"/>
      <c r="I1" s="18"/>
      <c r="J1" s="18"/>
      <c r="K1" s="15"/>
      <c r="L1" s="18" t="s">
        <v>9</v>
      </c>
      <c r="M1" s="18"/>
      <c r="N1" s="18"/>
      <c r="O1" s="18"/>
      <c r="P1" s="15"/>
      <c r="Q1" s="18" t="s">
        <v>10</v>
      </c>
      <c r="R1" s="18"/>
      <c r="S1" s="18"/>
      <c r="T1" s="18"/>
      <c r="U1" s="15"/>
      <c r="V1" s="18" t="s">
        <v>11</v>
      </c>
      <c r="W1" s="18"/>
      <c r="X1" s="18"/>
      <c r="Y1" s="18"/>
      <c r="Z1" s="15"/>
      <c r="AA1" s="18" t="s">
        <v>12</v>
      </c>
      <c r="AB1" s="18"/>
      <c r="AC1" s="18"/>
      <c r="AD1" s="18"/>
      <c r="AE1" s="15"/>
      <c r="AF1" s="18" t="s">
        <v>13</v>
      </c>
      <c r="AG1" s="18"/>
      <c r="AH1" s="18"/>
      <c r="AI1" s="18"/>
      <c r="AJ1" s="15"/>
      <c r="AK1" s="18" t="s">
        <v>14</v>
      </c>
      <c r="AL1" s="18"/>
      <c r="AM1" s="18"/>
      <c r="AN1" s="18"/>
      <c r="AO1" s="15"/>
      <c r="AP1" s="18" t="s">
        <v>15</v>
      </c>
      <c r="AQ1" s="18"/>
      <c r="AR1" s="18"/>
      <c r="AS1" s="18"/>
      <c r="AT1" s="15"/>
      <c r="AU1" s="18" t="s">
        <v>16</v>
      </c>
      <c r="AV1" s="18"/>
      <c r="AW1" s="18"/>
      <c r="AX1" s="18"/>
    </row>
    <row r="2" spans="1:55" s="8" customFormat="1" x14ac:dyDescent="0.2">
      <c r="B2" s="8" t="s">
        <v>25</v>
      </c>
      <c r="C2" s="8" t="s">
        <v>26</v>
      </c>
      <c r="D2" s="8" t="s">
        <v>27</v>
      </c>
      <c r="E2" s="8" t="s">
        <v>28</v>
      </c>
      <c r="F2" s="15"/>
      <c r="G2" s="8" t="s">
        <v>25</v>
      </c>
      <c r="H2" s="8" t="s">
        <v>26</v>
      </c>
      <c r="I2" s="8" t="s">
        <v>27</v>
      </c>
      <c r="J2" s="8" t="s">
        <v>28</v>
      </c>
      <c r="K2" s="15"/>
      <c r="L2" s="8" t="s">
        <v>25</v>
      </c>
      <c r="M2" s="8" t="s">
        <v>26</v>
      </c>
      <c r="N2" s="8" t="s">
        <v>27</v>
      </c>
      <c r="O2" s="8" t="s">
        <v>28</v>
      </c>
      <c r="P2" s="15"/>
      <c r="Q2" s="8" t="s">
        <v>25</v>
      </c>
      <c r="R2" s="8" t="s">
        <v>26</v>
      </c>
      <c r="S2" s="8" t="s">
        <v>27</v>
      </c>
      <c r="T2" s="8" t="s">
        <v>28</v>
      </c>
      <c r="U2" s="15"/>
      <c r="V2" s="8" t="s">
        <v>25</v>
      </c>
      <c r="W2" s="8" t="s">
        <v>26</v>
      </c>
      <c r="X2" s="8" t="s">
        <v>27</v>
      </c>
      <c r="Y2" s="8" t="s">
        <v>28</v>
      </c>
      <c r="Z2" s="15"/>
      <c r="AA2" s="8" t="s">
        <v>25</v>
      </c>
      <c r="AB2" s="8" t="s">
        <v>26</v>
      </c>
      <c r="AC2" s="8" t="s">
        <v>27</v>
      </c>
      <c r="AD2" s="8" t="s">
        <v>28</v>
      </c>
      <c r="AE2" s="15"/>
      <c r="AF2" s="8" t="s">
        <v>25</v>
      </c>
      <c r="AG2" s="8" t="s">
        <v>26</v>
      </c>
      <c r="AH2" s="8" t="s">
        <v>27</v>
      </c>
      <c r="AI2" s="8" t="s">
        <v>28</v>
      </c>
      <c r="AJ2" s="15"/>
      <c r="AK2" s="8" t="s">
        <v>25</v>
      </c>
      <c r="AL2" s="8" t="s">
        <v>26</v>
      </c>
      <c r="AM2" s="8" t="s">
        <v>27</v>
      </c>
      <c r="AN2" s="8" t="s">
        <v>28</v>
      </c>
      <c r="AO2" s="15"/>
      <c r="AP2" s="8" t="s">
        <v>25</v>
      </c>
      <c r="AQ2" s="8" t="s">
        <v>26</v>
      </c>
      <c r="AR2" s="8" t="s">
        <v>27</v>
      </c>
      <c r="AS2" s="8" t="s">
        <v>28</v>
      </c>
      <c r="AT2" s="15"/>
      <c r="AU2" s="8" t="s">
        <v>25</v>
      </c>
      <c r="AV2" s="8" t="s">
        <v>26</v>
      </c>
      <c r="AW2" s="8" t="s">
        <v>27</v>
      </c>
      <c r="AX2" s="8" t="s">
        <v>28</v>
      </c>
    </row>
    <row r="3" spans="1:55" x14ac:dyDescent="0.2">
      <c r="A3" s="1" t="s">
        <v>0</v>
      </c>
      <c r="B3" s="14">
        <v>6</v>
      </c>
      <c r="C3" s="2">
        <v>11</v>
      </c>
      <c r="D3" s="2">
        <f>20+4</f>
        <v>24</v>
      </c>
      <c r="E3" s="2">
        <f>20+20</f>
        <v>40</v>
      </c>
      <c r="G3" s="14">
        <v>9</v>
      </c>
      <c r="H3" s="2">
        <v>13</v>
      </c>
      <c r="I3" s="2">
        <f>20+3</f>
        <v>23</v>
      </c>
      <c r="J3" s="2">
        <f>20+16</f>
        <v>36</v>
      </c>
      <c r="L3" s="14">
        <v>5</v>
      </c>
      <c r="M3" s="2">
        <v>16</v>
      </c>
      <c r="N3" s="2">
        <f>20+7</f>
        <v>27</v>
      </c>
      <c r="O3" s="2">
        <f>20+19</f>
        <v>39</v>
      </c>
      <c r="Q3" s="14">
        <v>10</v>
      </c>
      <c r="R3" s="2">
        <v>18</v>
      </c>
      <c r="S3" s="2">
        <f>20+6</f>
        <v>26</v>
      </c>
      <c r="T3" s="2">
        <f>20+14</f>
        <v>34</v>
      </c>
      <c r="V3" s="14">
        <v>7</v>
      </c>
      <c r="W3" s="2">
        <v>19</v>
      </c>
      <c r="X3" s="2">
        <f>20+2</f>
        <v>22</v>
      </c>
      <c r="Y3" s="2">
        <f>20+13</f>
        <v>33</v>
      </c>
      <c r="AA3" s="14">
        <v>1</v>
      </c>
      <c r="AB3" s="2">
        <v>14</v>
      </c>
      <c r="AC3" s="2">
        <f>20+10</f>
        <v>30</v>
      </c>
      <c r="AD3" s="2">
        <f>20+11</f>
        <v>31</v>
      </c>
      <c r="AF3" s="14">
        <v>3</v>
      </c>
      <c r="AG3" s="2">
        <v>15</v>
      </c>
      <c r="AH3" s="2">
        <f>20+9</f>
        <v>29</v>
      </c>
      <c r="AI3" s="2">
        <f>20+18</f>
        <v>38</v>
      </c>
      <c r="AK3" s="14">
        <v>8</v>
      </c>
      <c r="AL3" s="2">
        <v>20</v>
      </c>
      <c r="AM3" s="2">
        <f>20+8</f>
        <v>28</v>
      </c>
      <c r="AN3" s="2">
        <f>20+17</f>
        <v>37</v>
      </c>
      <c r="AP3" s="14">
        <v>4</v>
      </c>
      <c r="AQ3" s="2">
        <v>12</v>
      </c>
      <c r="AR3" s="2">
        <f>20+5</f>
        <v>25</v>
      </c>
      <c r="AS3" s="2">
        <f>20+12</f>
        <v>32</v>
      </c>
      <c r="AU3" s="14">
        <v>2</v>
      </c>
      <c r="AV3" s="2">
        <v>17</v>
      </c>
      <c r="AW3" s="2">
        <f>20+1</f>
        <v>21</v>
      </c>
      <c r="AX3" s="2">
        <f>20+15</f>
        <v>35</v>
      </c>
    </row>
    <row r="4" spans="1:55" x14ac:dyDescent="0.2">
      <c r="A4" s="1" t="s">
        <v>1</v>
      </c>
      <c r="B4" s="14">
        <f>20+7</f>
        <v>27</v>
      </c>
      <c r="C4" s="2">
        <f>20+11</f>
        <v>31</v>
      </c>
      <c r="D4" s="2">
        <v>10</v>
      </c>
      <c r="E4" s="2">
        <v>15</v>
      </c>
      <c r="G4" s="14">
        <f>20+1</f>
        <v>21</v>
      </c>
      <c r="H4" s="2">
        <f>20+20</f>
        <v>40</v>
      </c>
      <c r="I4" s="2">
        <v>7</v>
      </c>
      <c r="J4" s="2">
        <v>12</v>
      </c>
      <c r="L4" s="14">
        <f>20+4</f>
        <v>24</v>
      </c>
      <c r="M4" s="2">
        <f>20+17</f>
        <v>37</v>
      </c>
      <c r="N4" s="2">
        <v>9</v>
      </c>
      <c r="O4" s="2">
        <v>14</v>
      </c>
      <c r="Q4" s="14">
        <f>20+8</f>
        <v>28</v>
      </c>
      <c r="R4" s="2">
        <f>20+19</f>
        <v>39</v>
      </c>
      <c r="S4" s="2">
        <v>6</v>
      </c>
      <c r="T4" s="2">
        <v>17</v>
      </c>
      <c r="V4" s="14">
        <f>20+5</f>
        <v>25</v>
      </c>
      <c r="W4" s="2">
        <f>20+18</f>
        <v>38</v>
      </c>
      <c r="X4" s="2">
        <v>5</v>
      </c>
      <c r="Y4" s="2">
        <v>20</v>
      </c>
      <c r="AA4" s="14">
        <f>20+3</f>
        <v>23</v>
      </c>
      <c r="AB4" s="2">
        <f>20+14</f>
        <v>34</v>
      </c>
      <c r="AC4" s="2">
        <v>8</v>
      </c>
      <c r="AD4" s="2">
        <v>19</v>
      </c>
      <c r="AF4" s="14">
        <f>20+10</f>
        <v>30</v>
      </c>
      <c r="AG4" s="2">
        <f>20+12</f>
        <v>32</v>
      </c>
      <c r="AH4" s="2">
        <v>2</v>
      </c>
      <c r="AI4" s="2">
        <v>11</v>
      </c>
      <c r="AK4" s="14">
        <f>20+9</f>
        <v>29</v>
      </c>
      <c r="AL4" s="2">
        <f>20+15</f>
        <v>35</v>
      </c>
      <c r="AM4" s="2">
        <v>4</v>
      </c>
      <c r="AN4" s="2">
        <v>16</v>
      </c>
      <c r="AP4" s="14">
        <f>20+6</f>
        <v>26</v>
      </c>
      <c r="AQ4" s="2">
        <f>20+13</f>
        <v>33</v>
      </c>
      <c r="AR4" s="2">
        <v>1</v>
      </c>
      <c r="AS4" s="2">
        <v>13</v>
      </c>
      <c r="AU4" s="14">
        <f>20+2</f>
        <v>22</v>
      </c>
      <c r="AV4" s="2">
        <f>20+16</f>
        <v>36</v>
      </c>
      <c r="AW4" s="2">
        <v>3</v>
      </c>
      <c r="AX4" s="2">
        <v>18</v>
      </c>
    </row>
    <row r="5" spans="1:55" x14ac:dyDescent="0.2">
      <c r="A5" s="1" t="s">
        <v>2</v>
      </c>
      <c r="B5" s="14">
        <v>18</v>
      </c>
      <c r="C5" s="2">
        <f>20+5</f>
        <v>25</v>
      </c>
      <c r="D5" s="2">
        <f>20+19</f>
        <v>39</v>
      </c>
      <c r="E5" s="2">
        <v>7</v>
      </c>
      <c r="G5" s="14">
        <v>16</v>
      </c>
      <c r="H5" s="2">
        <f>20+8</f>
        <v>28</v>
      </c>
      <c r="I5" s="2">
        <f>20+12</f>
        <v>32</v>
      </c>
      <c r="J5" s="2">
        <v>10</v>
      </c>
      <c r="L5" s="14">
        <v>13</v>
      </c>
      <c r="M5" s="2">
        <f>20+2</f>
        <v>22</v>
      </c>
      <c r="N5" s="2">
        <f>20+20</f>
        <v>40</v>
      </c>
      <c r="O5" s="2">
        <v>8</v>
      </c>
      <c r="Q5" s="14">
        <v>11</v>
      </c>
      <c r="R5" s="2">
        <f>20+1</f>
        <v>21</v>
      </c>
      <c r="S5" s="2">
        <f>20+18</f>
        <v>38</v>
      </c>
      <c r="T5" s="2">
        <v>9</v>
      </c>
      <c r="V5" s="14">
        <v>17</v>
      </c>
      <c r="W5" s="2">
        <f>20+9</f>
        <v>29</v>
      </c>
      <c r="X5" s="2">
        <f>20+16</f>
        <v>36</v>
      </c>
      <c r="Y5" s="2">
        <v>1</v>
      </c>
      <c r="AA5" s="14">
        <v>20</v>
      </c>
      <c r="AB5" s="2">
        <f>20+6</f>
        <v>26</v>
      </c>
      <c r="AC5" s="2">
        <f>20+15</f>
        <v>35</v>
      </c>
      <c r="AD5" s="2">
        <v>6</v>
      </c>
      <c r="AF5" s="14">
        <v>19</v>
      </c>
      <c r="AG5" s="2">
        <f>20+4</f>
        <v>24</v>
      </c>
      <c r="AH5" s="2">
        <f>20+11</f>
        <v>31</v>
      </c>
      <c r="AI5" s="2">
        <v>5</v>
      </c>
      <c r="AK5" s="14">
        <v>12</v>
      </c>
      <c r="AL5" s="2">
        <f>20+10</f>
        <v>30</v>
      </c>
      <c r="AM5" s="2">
        <f>20+13</f>
        <v>33</v>
      </c>
      <c r="AN5" s="2">
        <v>3</v>
      </c>
      <c r="AP5" s="14">
        <v>14</v>
      </c>
      <c r="AQ5" s="2">
        <f>20+7</f>
        <v>27</v>
      </c>
      <c r="AR5" s="2">
        <f>20+14</f>
        <v>34</v>
      </c>
      <c r="AS5" s="2">
        <v>2</v>
      </c>
      <c r="AU5" s="14">
        <v>15</v>
      </c>
      <c r="AV5" s="2">
        <f>20+3</f>
        <v>23</v>
      </c>
      <c r="AW5" s="2">
        <f>20+17</f>
        <v>37</v>
      </c>
      <c r="AX5" s="2">
        <v>4</v>
      </c>
    </row>
    <row r="6" spans="1:55" x14ac:dyDescent="0.2">
      <c r="A6" s="1" t="s">
        <v>3</v>
      </c>
      <c r="B6" s="14">
        <f>20+15</f>
        <v>35</v>
      </c>
      <c r="C6" s="2">
        <v>9</v>
      </c>
      <c r="D6" s="2">
        <v>12</v>
      </c>
      <c r="E6" s="2">
        <f>20+2</f>
        <v>22</v>
      </c>
      <c r="G6" s="14">
        <f>20+19</f>
        <v>39</v>
      </c>
      <c r="H6" s="2">
        <v>8</v>
      </c>
      <c r="I6" s="2">
        <v>15</v>
      </c>
      <c r="J6" s="2">
        <f>20+6</f>
        <v>26</v>
      </c>
      <c r="L6" s="14">
        <f>20+13</f>
        <v>33</v>
      </c>
      <c r="M6" s="2">
        <v>10</v>
      </c>
      <c r="N6" s="2">
        <v>17</v>
      </c>
      <c r="O6" s="2">
        <f>20+5</f>
        <v>25</v>
      </c>
      <c r="Q6" s="14">
        <f>20+20</f>
        <v>40</v>
      </c>
      <c r="R6" s="2">
        <v>5</v>
      </c>
      <c r="S6" s="2">
        <v>14</v>
      </c>
      <c r="T6" s="2">
        <f>20+3</f>
        <v>23</v>
      </c>
      <c r="V6" s="14">
        <f>20+14</f>
        <v>34</v>
      </c>
      <c r="W6" s="2">
        <v>4</v>
      </c>
      <c r="X6" s="2">
        <v>13</v>
      </c>
      <c r="Y6" s="2">
        <f>20+10</f>
        <v>30</v>
      </c>
      <c r="AA6" s="14">
        <f>20+17</f>
        <v>37</v>
      </c>
      <c r="AB6" s="2">
        <v>2</v>
      </c>
      <c r="AC6" s="2">
        <v>18</v>
      </c>
      <c r="AD6" s="2">
        <f>20+9</f>
        <v>29</v>
      </c>
      <c r="AF6" s="14">
        <f>20+16</f>
        <v>36</v>
      </c>
      <c r="AG6" s="2">
        <v>7</v>
      </c>
      <c r="AH6" s="2">
        <v>20</v>
      </c>
      <c r="AI6" s="2">
        <f>20+7</f>
        <v>27</v>
      </c>
      <c r="AK6" s="14">
        <f>20+12</f>
        <v>32</v>
      </c>
      <c r="AL6" s="2">
        <v>6</v>
      </c>
      <c r="AM6" s="2">
        <v>19</v>
      </c>
      <c r="AN6" s="2">
        <f>20+1</f>
        <v>21</v>
      </c>
      <c r="AP6" s="14">
        <f>20+11</f>
        <v>31</v>
      </c>
      <c r="AQ6" s="2">
        <v>3</v>
      </c>
      <c r="AR6" s="2">
        <v>11</v>
      </c>
      <c r="AS6" s="2">
        <f>20+8</f>
        <v>28</v>
      </c>
      <c r="AU6" s="14">
        <f>20+18</f>
        <v>38</v>
      </c>
      <c r="AV6" s="2">
        <v>1</v>
      </c>
      <c r="AW6" s="2">
        <v>16</v>
      </c>
      <c r="AX6" s="2">
        <f>20+4</f>
        <v>24</v>
      </c>
    </row>
    <row r="7" spans="1:55" x14ac:dyDescent="0.2">
      <c r="A7" s="1" t="s">
        <v>4</v>
      </c>
      <c r="B7" s="14">
        <v>3</v>
      </c>
      <c r="C7" s="2">
        <v>19</v>
      </c>
      <c r="D7" s="2">
        <f>20+6</f>
        <v>26</v>
      </c>
      <c r="E7" s="2">
        <f>20+17</f>
        <v>37</v>
      </c>
      <c r="G7" s="14">
        <v>5</v>
      </c>
      <c r="H7" s="2">
        <v>18</v>
      </c>
      <c r="I7" s="2">
        <f>20+10</f>
        <v>30</v>
      </c>
      <c r="J7" s="2">
        <f>20+15</f>
        <v>35</v>
      </c>
      <c r="L7" s="14">
        <v>7</v>
      </c>
      <c r="M7" s="2">
        <v>11</v>
      </c>
      <c r="N7" s="2">
        <f>20+9</f>
        <v>29</v>
      </c>
      <c r="O7" s="2">
        <f>20+14</f>
        <v>34</v>
      </c>
      <c r="Q7" s="14">
        <v>4</v>
      </c>
      <c r="R7" s="2">
        <v>20</v>
      </c>
      <c r="S7" s="2">
        <f>20+4</f>
        <v>24</v>
      </c>
      <c r="T7" s="2">
        <f>20+13</f>
        <v>33</v>
      </c>
      <c r="V7" s="14">
        <v>2</v>
      </c>
      <c r="W7" s="2">
        <v>15</v>
      </c>
      <c r="X7" s="2">
        <f>20+8</f>
        <v>28</v>
      </c>
      <c r="Y7" s="2">
        <f>20+20</f>
        <v>40</v>
      </c>
      <c r="AA7" s="14">
        <v>9</v>
      </c>
      <c r="AB7" s="2">
        <v>17</v>
      </c>
      <c r="AC7" s="2">
        <f>20+7</f>
        <v>27</v>
      </c>
      <c r="AD7" s="2">
        <f>20+12</f>
        <v>32</v>
      </c>
      <c r="AF7" s="14">
        <v>1</v>
      </c>
      <c r="AG7" s="2">
        <v>12</v>
      </c>
      <c r="AH7" s="2">
        <f>20+3</f>
        <v>23</v>
      </c>
      <c r="AI7" s="2">
        <f>20+19</f>
        <v>39</v>
      </c>
      <c r="AK7" s="14">
        <v>10</v>
      </c>
      <c r="AL7" s="2">
        <v>14</v>
      </c>
      <c r="AM7" s="2">
        <f>20+2</f>
        <v>22</v>
      </c>
      <c r="AN7" s="2">
        <f>20+18</f>
        <v>38</v>
      </c>
      <c r="AP7" s="14">
        <v>8</v>
      </c>
      <c r="AQ7" s="2">
        <v>16</v>
      </c>
      <c r="AR7" s="2">
        <f>20+1</f>
        <v>21</v>
      </c>
      <c r="AS7" s="2">
        <f>20+16</f>
        <v>36</v>
      </c>
      <c r="AU7" s="14">
        <v>6</v>
      </c>
      <c r="AV7" s="2">
        <v>13</v>
      </c>
      <c r="AW7" s="2">
        <f>20+5</f>
        <v>25</v>
      </c>
      <c r="AX7" s="2">
        <f>20+11</f>
        <v>31</v>
      </c>
    </row>
    <row r="8" spans="1:55" x14ac:dyDescent="0.2">
      <c r="A8" s="1" t="s">
        <v>5</v>
      </c>
      <c r="B8" s="14">
        <f>20+1</f>
        <v>21</v>
      </c>
      <c r="C8" s="2">
        <f>20+14</f>
        <v>34</v>
      </c>
      <c r="D8" s="2">
        <v>1</v>
      </c>
      <c r="E8" s="2">
        <v>20</v>
      </c>
      <c r="G8" s="14">
        <f>20+7</f>
        <v>27</v>
      </c>
      <c r="H8" s="2">
        <f>20+18</f>
        <v>38</v>
      </c>
      <c r="I8" s="2">
        <v>4</v>
      </c>
      <c r="J8" s="2">
        <v>19</v>
      </c>
      <c r="L8" s="14">
        <f>20+10</f>
        <v>30</v>
      </c>
      <c r="M8" s="2">
        <f>20+16</f>
        <v>36</v>
      </c>
      <c r="N8" s="2">
        <v>6</v>
      </c>
      <c r="O8" s="2">
        <v>15</v>
      </c>
      <c r="Q8" s="14">
        <f>20+9</f>
        <v>29</v>
      </c>
      <c r="R8" s="2">
        <f>20+11</f>
        <v>31</v>
      </c>
      <c r="S8" s="2">
        <v>8</v>
      </c>
      <c r="T8" s="2">
        <v>12</v>
      </c>
      <c r="V8" s="14">
        <f>20+3</f>
        <v>23</v>
      </c>
      <c r="W8" s="2">
        <f>20+15</f>
        <v>35</v>
      </c>
      <c r="X8" s="2">
        <v>10</v>
      </c>
      <c r="Y8" s="2">
        <v>11</v>
      </c>
      <c r="AA8" s="14">
        <f>20+5</f>
        <v>25</v>
      </c>
      <c r="AB8" s="2">
        <f>20+20</f>
        <v>40</v>
      </c>
      <c r="AC8" s="2">
        <v>3</v>
      </c>
      <c r="AD8" s="2">
        <v>16</v>
      </c>
      <c r="AF8" s="14">
        <f>20+8</f>
        <v>28</v>
      </c>
      <c r="AG8" s="2">
        <f>20+13</f>
        <v>33</v>
      </c>
      <c r="AH8" s="2">
        <v>9</v>
      </c>
      <c r="AI8" s="2">
        <v>18</v>
      </c>
      <c r="AK8" s="14">
        <f>20+4</f>
        <v>24</v>
      </c>
      <c r="AL8" s="2">
        <f>20+19</f>
        <v>39</v>
      </c>
      <c r="AM8" s="2">
        <v>2</v>
      </c>
      <c r="AN8" s="2">
        <v>13</v>
      </c>
      <c r="AP8" s="14">
        <f>20+2</f>
        <v>22</v>
      </c>
      <c r="AQ8" s="2">
        <f>20+17</f>
        <v>37</v>
      </c>
      <c r="AR8" s="2">
        <v>5</v>
      </c>
      <c r="AS8" s="2">
        <v>17</v>
      </c>
      <c r="AU8" s="14">
        <f>20+6</f>
        <v>26</v>
      </c>
      <c r="AV8" s="2">
        <f>20+12</f>
        <v>32</v>
      </c>
      <c r="AW8" s="2">
        <v>7</v>
      </c>
      <c r="AX8" s="2">
        <v>14</v>
      </c>
    </row>
    <row r="9" spans="1:55" x14ac:dyDescent="0.2">
      <c r="A9" s="1" t="s">
        <v>6</v>
      </c>
      <c r="B9" s="14">
        <v>13</v>
      </c>
      <c r="C9" s="2">
        <f>20+9</f>
        <v>29</v>
      </c>
      <c r="D9" s="2">
        <f>20+12</f>
        <v>32</v>
      </c>
      <c r="E9" s="2">
        <v>5</v>
      </c>
      <c r="G9" s="14">
        <v>20</v>
      </c>
      <c r="H9" s="2">
        <f>20+2</f>
        <v>22</v>
      </c>
      <c r="I9" s="2">
        <f>20+11</f>
        <v>31</v>
      </c>
      <c r="J9" s="2">
        <v>2</v>
      </c>
      <c r="L9" s="14">
        <v>19</v>
      </c>
      <c r="M9" s="2">
        <f>20+8</f>
        <v>28</v>
      </c>
      <c r="N9" s="2">
        <f>20+15</f>
        <v>35</v>
      </c>
      <c r="O9" s="2">
        <v>1</v>
      </c>
      <c r="Q9" s="14">
        <v>16</v>
      </c>
      <c r="R9" s="2">
        <f>20+10</f>
        <v>30</v>
      </c>
      <c r="S9" s="2">
        <f>20+17</f>
        <v>37</v>
      </c>
      <c r="T9" s="2">
        <v>7</v>
      </c>
      <c r="V9" s="14">
        <v>14</v>
      </c>
      <c r="W9" s="2">
        <f>20+1</f>
        <v>21</v>
      </c>
      <c r="X9" s="2">
        <f>20+19</f>
        <v>39</v>
      </c>
      <c r="Y9" s="2">
        <v>3</v>
      </c>
      <c r="AA9" s="14">
        <v>12</v>
      </c>
      <c r="AB9" s="2">
        <f>20+4</f>
        <v>24</v>
      </c>
      <c r="AC9" s="2">
        <f>20+16</f>
        <v>36</v>
      </c>
      <c r="AD9" s="2">
        <v>10</v>
      </c>
      <c r="AF9" s="14">
        <v>17</v>
      </c>
      <c r="AG9" s="2">
        <f>20+6</f>
        <v>26</v>
      </c>
      <c r="AH9" s="2">
        <f>20+20</f>
        <v>40</v>
      </c>
      <c r="AI9" s="2">
        <v>4</v>
      </c>
      <c r="AK9" s="14">
        <v>15</v>
      </c>
      <c r="AL9" s="2">
        <f>20+5</f>
        <v>25</v>
      </c>
      <c r="AM9" s="2">
        <f>20+14</f>
        <v>34</v>
      </c>
      <c r="AN9" s="2">
        <v>9</v>
      </c>
      <c r="AP9" s="14">
        <v>18</v>
      </c>
      <c r="AQ9" s="2">
        <f>20+3</f>
        <v>23</v>
      </c>
      <c r="AR9" s="2">
        <f>20+18</f>
        <v>38</v>
      </c>
      <c r="AS9" s="2">
        <v>6</v>
      </c>
      <c r="AU9" s="14">
        <v>11</v>
      </c>
      <c r="AV9" s="2">
        <f>20+7</f>
        <v>27</v>
      </c>
      <c r="AW9" s="2">
        <f>20+13</f>
        <v>33</v>
      </c>
      <c r="AX9" s="2">
        <v>8</v>
      </c>
    </row>
    <row r="10" spans="1:55" x14ac:dyDescent="0.2">
      <c r="A10" s="1"/>
    </row>
    <row r="11" spans="1:55" x14ac:dyDescent="0.2">
      <c r="A11" s="1"/>
    </row>
    <row r="12" spans="1:55" x14ac:dyDescent="0.2">
      <c r="AZ12" s="8"/>
      <c r="BA12" s="8"/>
      <c r="BB12" s="8"/>
      <c r="BC12" s="8"/>
    </row>
    <row r="13" spans="1:55" ht="15" x14ac:dyDescent="0.25">
      <c r="A13" s="1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</row>
    <row r="14" spans="1:55" ht="15" x14ac:dyDescent="0.25">
      <c r="A14" s="1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</row>
    <row r="15" spans="1:55" ht="15" x14ac:dyDescent="0.25">
      <c r="A15" s="1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</row>
    <row r="16" spans="1:55" ht="15" x14ac:dyDescent="0.25">
      <c r="A16" s="1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</row>
    <row r="17" spans="1:55" ht="15" x14ac:dyDescent="0.25">
      <c r="A17" s="1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</row>
    <row r="18" spans="1:55" ht="15" x14ac:dyDescent="0.25">
      <c r="A18" s="1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</row>
    <row r="19" spans="1:55" ht="15" x14ac:dyDescent="0.25">
      <c r="A19" s="1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</row>
    <row r="20" spans="1:55" ht="15" x14ac:dyDescent="0.25">
      <c r="A20" s="1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</row>
    <row r="21" spans="1:55" ht="15" x14ac:dyDescent="0.25">
      <c r="A21" s="1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</row>
    <row r="22" spans="1:55" ht="15" x14ac:dyDescent="0.25">
      <c r="A22" s="1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</row>
    <row r="23" spans="1:55" ht="15" x14ac:dyDescent="0.25">
      <c r="A23" s="1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</row>
    <row r="24" spans="1:55" ht="15" x14ac:dyDescent="0.25">
      <c r="A24" s="1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</row>
    <row r="25" spans="1:55" ht="15" x14ac:dyDescent="0.25">
      <c r="A25" s="1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</row>
    <row r="26" spans="1:55" ht="15" x14ac:dyDescent="0.25">
      <c r="A26" s="1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</row>
    <row r="27" spans="1:55" ht="15" x14ac:dyDescent="0.25">
      <c r="A27" s="1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</row>
    <row r="28" spans="1:55" ht="15" x14ac:dyDescent="0.25">
      <c r="A28" s="1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</row>
    <row r="29" spans="1:55" ht="15" x14ac:dyDescent="0.25">
      <c r="A29" s="1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</row>
    <row r="30" spans="1:55" ht="15" x14ac:dyDescent="0.25">
      <c r="A30" s="1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</row>
    <row r="31" spans="1:55" ht="15" x14ac:dyDescent="0.25">
      <c r="A31" s="1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</row>
    <row r="32" spans="1:55" ht="15" x14ac:dyDescent="0.25">
      <c r="A32" s="1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</row>
    <row r="33" spans="1:55" ht="15" x14ac:dyDescent="0.25">
      <c r="A33" s="1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</row>
    <row r="34" spans="1:55" ht="15" x14ac:dyDescent="0.25">
      <c r="A34" s="1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</row>
    <row r="35" spans="1:55" ht="15" x14ac:dyDescent="0.25">
      <c r="A35" s="1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</row>
    <row r="36" spans="1:55" ht="15" x14ac:dyDescent="0.25">
      <c r="A36" s="1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</row>
    <row r="37" spans="1:55" ht="15" x14ac:dyDescent="0.25">
      <c r="A37" s="1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</row>
    <row r="38" spans="1:55" ht="15" x14ac:dyDescent="0.25">
      <c r="A38" s="1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</row>
    <row r="39" spans="1:55" ht="15" x14ac:dyDescent="0.25">
      <c r="A39" s="1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</row>
    <row r="40" spans="1:55" ht="15" x14ac:dyDescent="0.25">
      <c r="A40" s="1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</row>
    <row r="41" spans="1:55" ht="15" x14ac:dyDescent="0.25">
      <c r="A41" s="1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</row>
    <row r="42" spans="1:55" ht="15" x14ac:dyDescent="0.25">
      <c r="A42" s="1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</row>
    <row r="43" spans="1:55" ht="15" x14ac:dyDescent="0.25">
      <c r="A43" s="1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</row>
    <row r="44" spans="1:55" ht="15" x14ac:dyDescent="0.25">
      <c r="A44" s="1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</row>
    <row r="45" spans="1:55" ht="15" x14ac:dyDescent="0.25">
      <c r="A45" s="1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</row>
    <row r="46" spans="1:55" ht="15" x14ac:dyDescent="0.25">
      <c r="A46" s="1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</row>
    <row r="47" spans="1:55" ht="15" x14ac:dyDescent="0.25">
      <c r="A47" s="1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</row>
    <row r="48" spans="1:55" ht="15" x14ac:dyDescent="0.25">
      <c r="A48" s="1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</row>
    <row r="49" spans="1:55" ht="15" x14ac:dyDescent="0.25">
      <c r="A49" s="1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</row>
    <row r="50" spans="1:55" ht="15" x14ac:dyDescent="0.25">
      <c r="A50" s="1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</row>
    <row r="51" spans="1:55" ht="15" x14ac:dyDescent="0.25">
      <c r="A51" s="1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</row>
    <row r="52" spans="1:55" ht="15" x14ac:dyDescent="0.25">
      <c r="A52" s="1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</row>
  </sheetData>
  <mergeCells count="10">
    <mergeCell ref="AF1:AI1"/>
    <mergeCell ref="AK1:AN1"/>
    <mergeCell ref="AP1:AS1"/>
    <mergeCell ref="AU1:AX1"/>
    <mergeCell ref="B1:E1"/>
    <mergeCell ref="G1:J1"/>
    <mergeCell ref="L1:O1"/>
    <mergeCell ref="Q1:T1"/>
    <mergeCell ref="V1:Y1"/>
    <mergeCell ref="AA1:A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H56"/>
  <sheetViews>
    <sheetView zoomScaleNormal="100" workbookViewId="0"/>
  </sheetViews>
  <sheetFormatPr defaultColWidth="4.42578125" defaultRowHeight="12.75" x14ac:dyDescent="0.2"/>
  <cols>
    <col min="1" max="1" width="8.42578125" style="2" customWidth="1"/>
    <col min="2" max="5" width="4" style="2" bestFit="1" customWidth="1"/>
    <col min="6" max="6" width="4" style="2" customWidth="1"/>
    <col min="7" max="10" width="4" style="2" bestFit="1" customWidth="1"/>
    <col min="11" max="11" width="4" style="2" customWidth="1"/>
    <col min="12" max="15" width="4" style="2" bestFit="1" customWidth="1"/>
    <col min="16" max="16" width="4" style="2" customWidth="1"/>
    <col min="17" max="20" width="4" style="2" bestFit="1" customWidth="1"/>
    <col min="21" max="21" width="4" style="2" customWidth="1"/>
    <col min="22" max="25" width="4" style="2" bestFit="1" customWidth="1"/>
    <col min="26" max="26" width="4" style="2" customWidth="1"/>
    <col min="27" max="30" width="4" style="2" bestFit="1" customWidth="1"/>
    <col min="31" max="31" width="4" style="2" customWidth="1"/>
    <col min="32" max="35" width="4" style="2" bestFit="1" customWidth="1"/>
    <col min="36" max="36" width="4" style="2" customWidth="1"/>
    <col min="37" max="40" width="4" style="2" bestFit="1" customWidth="1"/>
    <col min="41" max="41" width="4" style="2" customWidth="1"/>
    <col min="42" max="45" width="4" style="2" bestFit="1" customWidth="1"/>
    <col min="46" max="46" width="4" style="2" customWidth="1"/>
    <col min="47" max="50" width="4" style="2" bestFit="1" customWidth="1"/>
    <col min="51" max="51" width="4" style="2" customWidth="1"/>
    <col min="52" max="55" width="4" style="2" bestFit="1" customWidth="1"/>
    <col min="56" max="16384" width="4.42578125" style="2"/>
  </cols>
  <sheetData>
    <row r="1" spans="1:60" s="1" customFormat="1" x14ac:dyDescent="0.2">
      <c r="B1" s="18" t="s">
        <v>7</v>
      </c>
      <c r="C1" s="18"/>
      <c r="D1" s="18"/>
      <c r="E1" s="18"/>
      <c r="F1" s="15"/>
      <c r="G1" s="18" t="s">
        <v>8</v>
      </c>
      <c r="H1" s="18"/>
      <c r="I1" s="18"/>
      <c r="J1" s="18"/>
      <c r="K1" s="15"/>
      <c r="L1" s="18" t="s">
        <v>9</v>
      </c>
      <c r="M1" s="18"/>
      <c r="N1" s="18"/>
      <c r="O1" s="18"/>
      <c r="P1" s="15"/>
      <c r="Q1" s="18" t="s">
        <v>10</v>
      </c>
      <c r="R1" s="18"/>
      <c r="S1" s="18"/>
      <c r="T1" s="18"/>
      <c r="U1" s="15"/>
      <c r="V1" s="18" t="s">
        <v>11</v>
      </c>
      <c r="W1" s="18"/>
      <c r="X1" s="18"/>
      <c r="Y1" s="18"/>
      <c r="Z1" s="15"/>
      <c r="AA1" s="18" t="s">
        <v>12</v>
      </c>
      <c r="AB1" s="18"/>
      <c r="AC1" s="18"/>
      <c r="AD1" s="18"/>
      <c r="AE1" s="15"/>
      <c r="AF1" s="18" t="s">
        <v>13</v>
      </c>
      <c r="AG1" s="18"/>
      <c r="AH1" s="18"/>
      <c r="AI1" s="18"/>
      <c r="AJ1" s="15"/>
      <c r="AK1" s="18" t="s">
        <v>14</v>
      </c>
      <c r="AL1" s="18"/>
      <c r="AM1" s="18"/>
      <c r="AN1" s="18"/>
      <c r="AO1" s="15"/>
      <c r="AP1" s="18" t="s">
        <v>15</v>
      </c>
      <c r="AQ1" s="18"/>
      <c r="AR1" s="18"/>
      <c r="AS1" s="18"/>
      <c r="AT1" s="15"/>
      <c r="AU1" s="18" t="s">
        <v>16</v>
      </c>
      <c r="AV1" s="18"/>
      <c r="AW1" s="18"/>
      <c r="AX1" s="18"/>
      <c r="AY1" s="15"/>
      <c r="AZ1" s="18" t="s">
        <v>17</v>
      </c>
      <c r="BA1" s="18"/>
      <c r="BB1" s="18"/>
      <c r="BC1" s="18"/>
    </row>
    <row r="2" spans="1:60" s="8" customFormat="1" x14ac:dyDescent="0.2">
      <c r="B2" s="8" t="s">
        <v>25</v>
      </c>
      <c r="C2" s="8" t="s">
        <v>26</v>
      </c>
      <c r="D2" s="8" t="s">
        <v>27</v>
      </c>
      <c r="E2" s="8" t="s">
        <v>28</v>
      </c>
      <c r="F2" s="15"/>
      <c r="G2" s="8" t="s">
        <v>25</v>
      </c>
      <c r="H2" s="8" t="s">
        <v>26</v>
      </c>
      <c r="I2" s="8" t="s">
        <v>27</v>
      </c>
      <c r="J2" s="8" t="s">
        <v>28</v>
      </c>
      <c r="K2" s="15"/>
      <c r="L2" s="8" t="s">
        <v>25</v>
      </c>
      <c r="M2" s="8" t="s">
        <v>26</v>
      </c>
      <c r="N2" s="8" t="s">
        <v>27</v>
      </c>
      <c r="O2" s="8" t="s">
        <v>28</v>
      </c>
      <c r="P2" s="15"/>
      <c r="Q2" s="8" t="s">
        <v>25</v>
      </c>
      <c r="R2" s="8" t="s">
        <v>26</v>
      </c>
      <c r="S2" s="8" t="s">
        <v>27</v>
      </c>
      <c r="T2" s="8" t="s">
        <v>28</v>
      </c>
      <c r="U2" s="15"/>
      <c r="V2" s="8" t="s">
        <v>25</v>
      </c>
      <c r="W2" s="8" t="s">
        <v>26</v>
      </c>
      <c r="X2" s="8" t="s">
        <v>27</v>
      </c>
      <c r="Y2" s="8" t="s">
        <v>28</v>
      </c>
      <c r="Z2" s="15"/>
      <c r="AA2" s="8" t="s">
        <v>25</v>
      </c>
      <c r="AB2" s="8" t="s">
        <v>26</v>
      </c>
      <c r="AC2" s="8" t="s">
        <v>27</v>
      </c>
      <c r="AD2" s="8" t="s">
        <v>28</v>
      </c>
      <c r="AE2" s="15"/>
      <c r="AF2" s="8" t="s">
        <v>25</v>
      </c>
      <c r="AG2" s="8" t="s">
        <v>26</v>
      </c>
      <c r="AH2" s="8" t="s">
        <v>27</v>
      </c>
      <c r="AI2" s="8" t="s">
        <v>28</v>
      </c>
      <c r="AJ2" s="15"/>
      <c r="AK2" s="8" t="s">
        <v>25</v>
      </c>
      <c r="AL2" s="8" t="s">
        <v>26</v>
      </c>
      <c r="AM2" s="8" t="s">
        <v>27</v>
      </c>
      <c r="AN2" s="8" t="s">
        <v>28</v>
      </c>
      <c r="AO2" s="15"/>
      <c r="AP2" s="8" t="s">
        <v>25</v>
      </c>
      <c r="AQ2" s="8" t="s">
        <v>26</v>
      </c>
      <c r="AR2" s="8" t="s">
        <v>27</v>
      </c>
      <c r="AS2" s="8" t="s">
        <v>28</v>
      </c>
      <c r="AT2" s="15"/>
      <c r="AU2" s="8" t="s">
        <v>25</v>
      </c>
      <c r="AV2" s="8" t="s">
        <v>26</v>
      </c>
      <c r="AW2" s="8" t="s">
        <v>27</v>
      </c>
      <c r="AX2" s="8" t="s">
        <v>28</v>
      </c>
      <c r="AY2" s="15"/>
      <c r="AZ2" s="8" t="s">
        <v>25</v>
      </c>
      <c r="BA2" s="8" t="s">
        <v>26</v>
      </c>
      <c r="BB2" s="8" t="s">
        <v>27</v>
      </c>
      <c r="BC2" s="8" t="s">
        <v>28</v>
      </c>
    </row>
    <row r="3" spans="1:60" x14ac:dyDescent="0.2">
      <c r="A3" s="1" t="s">
        <v>0</v>
      </c>
      <c r="B3" s="14">
        <v>1</v>
      </c>
      <c r="C3" s="2">
        <v>12</v>
      </c>
      <c r="D3" s="2">
        <f>22+1</f>
        <v>23</v>
      </c>
      <c r="E3" s="2">
        <f>22+12</f>
        <v>34</v>
      </c>
      <c r="G3" s="14">
        <v>11</v>
      </c>
      <c r="H3" s="2">
        <v>22</v>
      </c>
      <c r="I3" s="2">
        <f>22+11</f>
        <v>33</v>
      </c>
      <c r="J3" s="2">
        <f>22+22</f>
        <v>44</v>
      </c>
      <c r="L3" s="14">
        <v>10</v>
      </c>
      <c r="M3" s="2">
        <v>21</v>
      </c>
      <c r="N3" s="2">
        <f>22+10</f>
        <v>32</v>
      </c>
      <c r="O3" s="2">
        <f>22+21</f>
        <v>43</v>
      </c>
      <c r="Q3" s="14">
        <v>9</v>
      </c>
      <c r="R3" s="2">
        <v>20</v>
      </c>
      <c r="S3" s="2">
        <f>22+9</f>
        <v>31</v>
      </c>
      <c r="T3" s="2">
        <f>22+20</f>
        <v>42</v>
      </c>
      <c r="V3" s="14">
        <v>8</v>
      </c>
      <c r="W3" s="2">
        <v>19</v>
      </c>
      <c r="X3" s="2">
        <f>22+8</f>
        <v>30</v>
      </c>
      <c r="Y3" s="2">
        <f>22+19</f>
        <v>41</v>
      </c>
      <c r="AA3" s="14">
        <v>7</v>
      </c>
      <c r="AB3" s="2">
        <v>18</v>
      </c>
      <c r="AC3" s="2">
        <f>22+7</f>
        <v>29</v>
      </c>
      <c r="AD3" s="2">
        <f>22+18</f>
        <v>40</v>
      </c>
      <c r="AF3" s="14">
        <v>6</v>
      </c>
      <c r="AG3" s="2">
        <v>17</v>
      </c>
      <c r="AH3" s="2">
        <f>22+6</f>
        <v>28</v>
      </c>
      <c r="AI3" s="2">
        <f>22+17</f>
        <v>39</v>
      </c>
      <c r="AK3" s="14">
        <v>5</v>
      </c>
      <c r="AL3" s="2">
        <v>16</v>
      </c>
      <c r="AM3" s="2">
        <f>22+5</f>
        <v>27</v>
      </c>
      <c r="AN3" s="2">
        <f>22+16</f>
        <v>38</v>
      </c>
      <c r="AP3" s="14">
        <v>4</v>
      </c>
      <c r="AQ3" s="2">
        <v>15</v>
      </c>
      <c r="AR3" s="2">
        <f>22+4</f>
        <v>26</v>
      </c>
      <c r="AS3" s="2">
        <f>22+15</f>
        <v>37</v>
      </c>
      <c r="AU3" s="14">
        <v>3</v>
      </c>
      <c r="AV3" s="2">
        <v>14</v>
      </c>
      <c r="AW3" s="2">
        <f>22+3</f>
        <v>25</v>
      </c>
      <c r="AX3" s="2">
        <f>22+14</f>
        <v>36</v>
      </c>
      <c r="AZ3" s="14">
        <v>2</v>
      </c>
      <c r="BA3" s="2">
        <v>13</v>
      </c>
      <c r="BB3" s="2">
        <f>22+2</f>
        <v>24</v>
      </c>
      <c r="BC3" s="2">
        <f>22+13</f>
        <v>35</v>
      </c>
    </row>
    <row r="4" spans="1:60" x14ac:dyDescent="0.2">
      <c r="A4" s="1" t="s">
        <v>1</v>
      </c>
      <c r="B4" s="14">
        <f>22+9</f>
        <v>31</v>
      </c>
      <c r="C4" s="2">
        <f>22+19</f>
        <v>41</v>
      </c>
      <c r="D4" s="2">
        <v>11</v>
      </c>
      <c r="E4" s="2">
        <v>21</v>
      </c>
      <c r="G4" s="14">
        <f>22+8</f>
        <v>30</v>
      </c>
      <c r="H4" s="2">
        <f>22+18</f>
        <v>40</v>
      </c>
      <c r="I4" s="2">
        <v>10</v>
      </c>
      <c r="J4" s="2">
        <v>20</v>
      </c>
      <c r="L4" s="14">
        <f>22+7</f>
        <v>29</v>
      </c>
      <c r="M4" s="2">
        <f>22+17</f>
        <v>39</v>
      </c>
      <c r="N4" s="2">
        <v>9</v>
      </c>
      <c r="O4" s="2">
        <v>19</v>
      </c>
      <c r="Q4" s="14">
        <f>22+6</f>
        <v>28</v>
      </c>
      <c r="R4" s="2">
        <f>22+16</f>
        <v>38</v>
      </c>
      <c r="S4" s="2">
        <v>8</v>
      </c>
      <c r="T4" s="2">
        <v>18</v>
      </c>
      <c r="V4" s="14">
        <f>22+5</f>
        <v>27</v>
      </c>
      <c r="W4" s="2">
        <f>22+15</f>
        <v>37</v>
      </c>
      <c r="X4" s="2">
        <v>7</v>
      </c>
      <c r="Y4" s="2">
        <v>17</v>
      </c>
      <c r="AA4" s="14">
        <f>22+4</f>
        <v>26</v>
      </c>
      <c r="AB4" s="2">
        <f>22+14</f>
        <v>36</v>
      </c>
      <c r="AC4" s="2">
        <v>6</v>
      </c>
      <c r="AD4" s="2">
        <v>16</v>
      </c>
      <c r="AF4" s="14">
        <f>22+3</f>
        <v>25</v>
      </c>
      <c r="AG4" s="2">
        <f>22+13</f>
        <v>35</v>
      </c>
      <c r="AH4" s="2">
        <v>5</v>
      </c>
      <c r="AI4" s="2">
        <v>15</v>
      </c>
      <c r="AK4" s="14">
        <f>22+2</f>
        <v>24</v>
      </c>
      <c r="AL4" s="2">
        <f>22+12</f>
        <v>34</v>
      </c>
      <c r="AM4" s="2">
        <v>4</v>
      </c>
      <c r="AN4" s="2">
        <v>14</v>
      </c>
      <c r="AP4" s="14">
        <f>22+1</f>
        <v>23</v>
      </c>
      <c r="AQ4" s="2">
        <f>22+22</f>
        <v>44</v>
      </c>
      <c r="AR4" s="2">
        <v>3</v>
      </c>
      <c r="AS4" s="2">
        <v>13</v>
      </c>
      <c r="AU4" s="14">
        <f>22+11</f>
        <v>33</v>
      </c>
      <c r="AV4" s="2">
        <f>22+21</f>
        <v>43</v>
      </c>
      <c r="AW4" s="2">
        <v>2</v>
      </c>
      <c r="AX4" s="2">
        <v>12</v>
      </c>
      <c r="AZ4" s="14">
        <f>22+10</f>
        <v>32</v>
      </c>
      <c r="BA4" s="2">
        <f>22+20</f>
        <v>42</v>
      </c>
      <c r="BB4" s="2">
        <v>1</v>
      </c>
      <c r="BC4" s="2">
        <v>22</v>
      </c>
    </row>
    <row r="5" spans="1:60" x14ac:dyDescent="0.2">
      <c r="A5" s="1" t="s">
        <v>2</v>
      </c>
      <c r="B5" s="14">
        <v>19</v>
      </c>
      <c r="C5" s="2">
        <f>22+6</f>
        <v>28</v>
      </c>
      <c r="D5" s="2">
        <f>22+15</f>
        <v>37</v>
      </c>
      <c r="E5" s="2">
        <v>10</v>
      </c>
      <c r="G5" s="14">
        <v>18</v>
      </c>
      <c r="H5" s="2">
        <f>22+5</f>
        <v>27</v>
      </c>
      <c r="I5" s="2">
        <f>22+14</f>
        <v>36</v>
      </c>
      <c r="J5" s="2">
        <v>9</v>
      </c>
      <c r="L5" s="14">
        <v>17</v>
      </c>
      <c r="M5" s="2">
        <f>22+4</f>
        <v>26</v>
      </c>
      <c r="N5" s="2">
        <f>22+13</f>
        <v>35</v>
      </c>
      <c r="O5" s="2">
        <v>8</v>
      </c>
      <c r="Q5" s="14">
        <v>16</v>
      </c>
      <c r="R5" s="2">
        <f>22+3</f>
        <v>25</v>
      </c>
      <c r="S5" s="2">
        <f>22+12</f>
        <v>34</v>
      </c>
      <c r="T5" s="2">
        <v>7</v>
      </c>
      <c r="V5" s="14">
        <v>15</v>
      </c>
      <c r="W5" s="2">
        <f>22+2</f>
        <v>24</v>
      </c>
      <c r="X5" s="2">
        <f>22+22</f>
        <v>44</v>
      </c>
      <c r="Y5" s="2">
        <v>6</v>
      </c>
      <c r="AA5" s="14">
        <v>14</v>
      </c>
      <c r="AB5" s="2">
        <f>22+1</f>
        <v>23</v>
      </c>
      <c r="AC5" s="2">
        <f>22+21</f>
        <v>43</v>
      </c>
      <c r="AD5" s="2">
        <v>5</v>
      </c>
      <c r="AF5" s="14">
        <v>13</v>
      </c>
      <c r="AG5" s="2">
        <f>22+11</f>
        <v>33</v>
      </c>
      <c r="AH5" s="2">
        <f>22+20</f>
        <v>42</v>
      </c>
      <c r="AI5" s="2">
        <v>4</v>
      </c>
      <c r="AK5" s="14">
        <v>12</v>
      </c>
      <c r="AL5" s="2">
        <f>22+10</f>
        <v>32</v>
      </c>
      <c r="AM5" s="2">
        <f>22+19</f>
        <v>41</v>
      </c>
      <c r="AN5" s="2">
        <v>3</v>
      </c>
      <c r="AP5" s="14">
        <v>22</v>
      </c>
      <c r="AQ5" s="2">
        <f>22+9</f>
        <v>31</v>
      </c>
      <c r="AR5" s="2">
        <f>22+18</f>
        <v>40</v>
      </c>
      <c r="AS5" s="2">
        <v>2</v>
      </c>
      <c r="AU5" s="14">
        <v>21</v>
      </c>
      <c r="AV5" s="2">
        <f>22+8</f>
        <v>30</v>
      </c>
      <c r="AW5" s="2">
        <f>22+17</f>
        <v>39</v>
      </c>
      <c r="AX5" s="2">
        <v>1</v>
      </c>
      <c r="AZ5" s="14">
        <v>20</v>
      </c>
      <c r="BA5" s="2">
        <f>22+7</f>
        <v>29</v>
      </c>
      <c r="BB5" s="2">
        <f>22+16</f>
        <v>38</v>
      </c>
      <c r="BC5" s="2">
        <v>11</v>
      </c>
    </row>
    <row r="6" spans="1:60" x14ac:dyDescent="0.2">
      <c r="A6" s="1" t="s">
        <v>3</v>
      </c>
      <c r="B6" s="14">
        <f>22+22</f>
        <v>44</v>
      </c>
      <c r="C6" s="2">
        <v>9</v>
      </c>
      <c r="D6" s="2">
        <v>17</v>
      </c>
      <c r="E6" s="2">
        <f>22+3</f>
        <v>25</v>
      </c>
      <c r="G6" s="14">
        <f>22+21</f>
        <v>43</v>
      </c>
      <c r="H6" s="2">
        <v>8</v>
      </c>
      <c r="I6" s="2">
        <v>16</v>
      </c>
      <c r="J6" s="2">
        <f>22+2</f>
        <v>24</v>
      </c>
      <c r="L6" s="14">
        <f>22+20</f>
        <v>42</v>
      </c>
      <c r="M6" s="2">
        <v>7</v>
      </c>
      <c r="N6" s="2">
        <v>15</v>
      </c>
      <c r="O6" s="2">
        <f>22+1</f>
        <v>23</v>
      </c>
      <c r="Q6" s="14">
        <f>22+19</f>
        <v>41</v>
      </c>
      <c r="R6" s="2">
        <v>6</v>
      </c>
      <c r="S6" s="2">
        <v>14</v>
      </c>
      <c r="T6" s="2">
        <f>22+11</f>
        <v>33</v>
      </c>
      <c r="V6" s="14">
        <f>22+18</f>
        <v>40</v>
      </c>
      <c r="W6" s="2">
        <v>5</v>
      </c>
      <c r="X6" s="2">
        <v>13</v>
      </c>
      <c r="Y6" s="2">
        <f>22+10</f>
        <v>32</v>
      </c>
      <c r="AA6" s="14">
        <f>22+17</f>
        <v>39</v>
      </c>
      <c r="AB6" s="2">
        <v>4</v>
      </c>
      <c r="AC6" s="2">
        <v>12</v>
      </c>
      <c r="AD6" s="2">
        <f>22+9</f>
        <v>31</v>
      </c>
      <c r="AF6" s="14">
        <f>22+16</f>
        <v>38</v>
      </c>
      <c r="AG6" s="2">
        <v>3</v>
      </c>
      <c r="AH6" s="2">
        <v>22</v>
      </c>
      <c r="AI6" s="2">
        <f>22+8</f>
        <v>30</v>
      </c>
      <c r="AK6" s="14">
        <f>22+15</f>
        <v>37</v>
      </c>
      <c r="AL6" s="2">
        <v>2</v>
      </c>
      <c r="AM6" s="2">
        <v>21</v>
      </c>
      <c r="AN6" s="2">
        <f>22+7</f>
        <v>29</v>
      </c>
      <c r="AP6" s="14">
        <f>22+14</f>
        <v>36</v>
      </c>
      <c r="AQ6" s="2">
        <v>1</v>
      </c>
      <c r="AR6" s="2">
        <v>20</v>
      </c>
      <c r="AS6" s="2">
        <f>22+6</f>
        <v>28</v>
      </c>
      <c r="AU6" s="14">
        <f>22+13</f>
        <v>35</v>
      </c>
      <c r="AV6" s="2">
        <v>11</v>
      </c>
      <c r="AW6" s="2">
        <v>19</v>
      </c>
      <c r="AX6" s="2">
        <f>22+5</f>
        <v>27</v>
      </c>
      <c r="AZ6" s="14">
        <f>22+12</f>
        <v>34</v>
      </c>
      <c r="BA6" s="2">
        <v>10</v>
      </c>
      <c r="BB6" s="2">
        <v>18</v>
      </c>
      <c r="BC6" s="2">
        <f>22+4</f>
        <v>26</v>
      </c>
    </row>
    <row r="7" spans="1:60" x14ac:dyDescent="0.2">
      <c r="A7" s="1" t="s">
        <v>4</v>
      </c>
      <c r="B7" s="14">
        <v>8</v>
      </c>
      <c r="C7" s="2">
        <v>15</v>
      </c>
      <c r="D7" s="2">
        <f>22+11</f>
        <v>33</v>
      </c>
      <c r="E7" s="2">
        <f>22+18</f>
        <v>40</v>
      </c>
      <c r="G7" s="14">
        <v>7</v>
      </c>
      <c r="H7" s="2">
        <v>14</v>
      </c>
      <c r="I7" s="2">
        <f>22+10</f>
        <v>32</v>
      </c>
      <c r="J7" s="2">
        <f>22+17</f>
        <v>39</v>
      </c>
      <c r="L7" s="14">
        <v>6</v>
      </c>
      <c r="M7" s="2">
        <v>13</v>
      </c>
      <c r="N7" s="2">
        <f>22+9</f>
        <v>31</v>
      </c>
      <c r="O7" s="2">
        <f>22+16</f>
        <v>38</v>
      </c>
      <c r="Q7" s="14">
        <v>5</v>
      </c>
      <c r="R7" s="2">
        <v>12</v>
      </c>
      <c r="S7" s="2">
        <f>22+8</f>
        <v>30</v>
      </c>
      <c r="T7" s="2">
        <f>22+15</f>
        <v>37</v>
      </c>
      <c r="V7" s="14">
        <v>4</v>
      </c>
      <c r="W7" s="2">
        <v>22</v>
      </c>
      <c r="X7" s="2">
        <f>22+7</f>
        <v>29</v>
      </c>
      <c r="Y7" s="2">
        <f>22+14</f>
        <v>36</v>
      </c>
      <c r="AA7" s="14">
        <v>3</v>
      </c>
      <c r="AB7" s="2">
        <v>21</v>
      </c>
      <c r="AC7" s="2">
        <f>22+6</f>
        <v>28</v>
      </c>
      <c r="AD7" s="2">
        <f>22+13</f>
        <v>35</v>
      </c>
      <c r="AF7" s="14">
        <v>2</v>
      </c>
      <c r="AG7" s="2">
        <v>20</v>
      </c>
      <c r="AH7" s="2">
        <f>22+5</f>
        <v>27</v>
      </c>
      <c r="AI7" s="2">
        <f>22+12</f>
        <v>34</v>
      </c>
      <c r="AK7" s="14">
        <v>1</v>
      </c>
      <c r="AL7" s="2">
        <v>19</v>
      </c>
      <c r="AM7" s="2">
        <f>22+4</f>
        <v>26</v>
      </c>
      <c r="AN7" s="2">
        <f>22+22</f>
        <v>44</v>
      </c>
      <c r="AP7" s="14">
        <v>11</v>
      </c>
      <c r="AQ7" s="2">
        <v>18</v>
      </c>
      <c r="AR7" s="2">
        <f>22+3</f>
        <v>25</v>
      </c>
      <c r="AS7" s="2">
        <f>22+21</f>
        <v>43</v>
      </c>
      <c r="AU7" s="14">
        <v>10</v>
      </c>
      <c r="AV7" s="2">
        <v>17</v>
      </c>
      <c r="AW7" s="2">
        <f>22+2</f>
        <v>24</v>
      </c>
      <c r="AX7" s="2">
        <f>22+20</f>
        <v>42</v>
      </c>
      <c r="AZ7" s="14">
        <v>9</v>
      </c>
      <c r="BA7" s="2">
        <v>16</v>
      </c>
      <c r="BB7" s="2">
        <f>22+1</f>
        <v>23</v>
      </c>
      <c r="BC7" s="2">
        <f>22+19</f>
        <v>41</v>
      </c>
    </row>
    <row r="8" spans="1:60" x14ac:dyDescent="0.2">
      <c r="A8" s="1" t="s">
        <v>5</v>
      </c>
      <c r="B8" s="14">
        <f>22+8</f>
        <v>30</v>
      </c>
      <c r="C8" s="2">
        <f>22+14</f>
        <v>36</v>
      </c>
      <c r="D8" s="2">
        <v>7</v>
      </c>
      <c r="E8" s="2">
        <v>13</v>
      </c>
      <c r="G8" s="14">
        <f>22+7</f>
        <v>29</v>
      </c>
      <c r="H8" s="2">
        <f>22+13</f>
        <v>35</v>
      </c>
      <c r="I8" s="2">
        <v>6</v>
      </c>
      <c r="J8" s="2">
        <v>12</v>
      </c>
      <c r="L8" s="14">
        <f>22+6</f>
        <v>28</v>
      </c>
      <c r="M8" s="2">
        <f>22+12</f>
        <v>34</v>
      </c>
      <c r="N8" s="2">
        <v>5</v>
      </c>
      <c r="O8" s="2">
        <v>22</v>
      </c>
      <c r="Q8" s="14">
        <f>22+5</f>
        <v>27</v>
      </c>
      <c r="R8" s="2">
        <f>22+22</f>
        <v>44</v>
      </c>
      <c r="S8" s="2">
        <v>4</v>
      </c>
      <c r="T8" s="2">
        <v>21</v>
      </c>
      <c r="V8" s="14">
        <f>22+4</f>
        <v>26</v>
      </c>
      <c r="W8" s="2">
        <f>22+21</f>
        <v>43</v>
      </c>
      <c r="X8" s="2">
        <v>3</v>
      </c>
      <c r="Y8" s="2">
        <v>20</v>
      </c>
      <c r="AA8" s="14">
        <f>22+3</f>
        <v>25</v>
      </c>
      <c r="AB8" s="2">
        <f>22+20</f>
        <v>42</v>
      </c>
      <c r="AC8" s="2">
        <v>2</v>
      </c>
      <c r="AD8" s="2">
        <v>19</v>
      </c>
      <c r="AF8" s="14">
        <f>22+2</f>
        <v>24</v>
      </c>
      <c r="AG8" s="2">
        <f>22+19</f>
        <v>41</v>
      </c>
      <c r="AH8" s="2">
        <v>1</v>
      </c>
      <c r="AI8" s="2">
        <v>18</v>
      </c>
      <c r="AK8" s="14">
        <f>22+1</f>
        <v>23</v>
      </c>
      <c r="AL8" s="2">
        <f>22+18</f>
        <v>40</v>
      </c>
      <c r="AM8" s="2">
        <v>11</v>
      </c>
      <c r="AN8" s="2">
        <v>17</v>
      </c>
      <c r="AP8" s="14">
        <f>22+11</f>
        <v>33</v>
      </c>
      <c r="AQ8" s="2">
        <f>22+17</f>
        <v>39</v>
      </c>
      <c r="AR8" s="2">
        <v>10</v>
      </c>
      <c r="AS8" s="2">
        <v>16</v>
      </c>
      <c r="AU8" s="14">
        <f>22+10</f>
        <v>32</v>
      </c>
      <c r="AV8" s="2">
        <f>22+16</f>
        <v>38</v>
      </c>
      <c r="AW8" s="2">
        <v>9</v>
      </c>
      <c r="AX8" s="2">
        <v>15</v>
      </c>
      <c r="AZ8" s="14">
        <f>22+9</f>
        <v>31</v>
      </c>
      <c r="BA8" s="2">
        <f>22+15</f>
        <v>37</v>
      </c>
      <c r="BB8" s="2">
        <v>8</v>
      </c>
      <c r="BC8" s="2">
        <v>14</v>
      </c>
    </row>
    <row r="9" spans="1:60" x14ac:dyDescent="0.2">
      <c r="A9" s="1" t="s">
        <v>6</v>
      </c>
      <c r="B9" s="14">
        <v>22</v>
      </c>
      <c r="C9" s="2">
        <f>22+5</f>
        <v>27</v>
      </c>
      <c r="D9" s="2">
        <f>22+21</f>
        <v>43</v>
      </c>
      <c r="E9" s="2">
        <v>6</v>
      </c>
      <c r="G9" s="14">
        <v>21</v>
      </c>
      <c r="H9" s="2">
        <f>22+4</f>
        <v>26</v>
      </c>
      <c r="I9" s="2">
        <f>22+20</f>
        <v>42</v>
      </c>
      <c r="J9" s="2">
        <v>5</v>
      </c>
      <c r="L9" s="14">
        <v>20</v>
      </c>
      <c r="M9" s="2">
        <f>22+3</f>
        <v>25</v>
      </c>
      <c r="N9" s="2">
        <f>22+19</f>
        <v>41</v>
      </c>
      <c r="O9" s="2">
        <v>4</v>
      </c>
      <c r="Q9" s="14">
        <v>19</v>
      </c>
      <c r="R9" s="2">
        <f>22+2</f>
        <v>24</v>
      </c>
      <c r="S9" s="2">
        <f>22+18</f>
        <v>40</v>
      </c>
      <c r="T9" s="2">
        <v>3</v>
      </c>
      <c r="V9" s="14">
        <v>18</v>
      </c>
      <c r="W9" s="2">
        <f>22+1</f>
        <v>23</v>
      </c>
      <c r="X9" s="2">
        <f>22+17</f>
        <v>39</v>
      </c>
      <c r="Y9" s="2">
        <v>2</v>
      </c>
      <c r="AA9" s="14">
        <v>17</v>
      </c>
      <c r="AB9" s="2">
        <f>22+11</f>
        <v>33</v>
      </c>
      <c r="AC9" s="2">
        <f>22+16</f>
        <v>38</v>
      </c>
      <c r="AD9" s="2">
        <v>1</v>
      </c>
      <c r="AF9" s="14">
        <v>16</v>
      </c>
      <c r="AG9" s="2">
        <f>22+10</f>
        <v>32</v>
      </c>
      <c r="AH9" s="2">
        <f>22+15</f>
        <v>37</v>
      </c>
      <c r="AI9" s="2">
        <v>11</v>
      </c>
      <c r="AK9" s="14">
        <v>15</v>
      </c>
      <c r="AL9" s="2">
        <f>22+9</f>
        <v>31</v>
      </c>
      <c r="AM9" s="2">
        <f>22+14</f>
        <v>36</v>
      </c>
      <c r="AN9" s="2">
        <v>10</v>
      </c>
      <c r="AP9" s="14">
        <v>14</v>
      </c>
      <c r="AQ9" s="2">
        <f>22+8</f>
        <v>30</v>
      </c>
      <c r="AR9" s="2">
        <f>22+13</f>
        <v>35</v>
      </c>
      <c r="AS9" s="2">
        <v>9</v>
      </c>
      <c r="AU9" s="14">
        <v>13</v>
      </c>
      <c r="AV9" s="2">
        <f>22+7</f>
        <v>29</v>
      </c>
      <c r="AW9" s="2">
        <f>22+12</f>
        <v>34</v>
      </c>
      <c r="AX9" s="2">
        <v>8</v>
      </c>
      <c r="AZ9" s="14">
        <v>12</v>
      </c>
      <c r="BA9" s="2">
        <f>22+6</f>
        <v>28</v>
      </c>
      <c r="BB9" s="2">
        <f>22+22</f>
        <v>44</v>
      </c>
      <c r="BC9" s="2">
        <v>7</v>
      </c>
    </row>
    <row r="10" spans="1:60" x14ac:dyDescent="0.2">
      <c r="A10" s="1"/>
    </row>
    <row r="11" spans="1:60" x14ac:dyDescent="0.2">
      <c r="A11" s="1"/>
    </row>
    <row r="12" spans="1:60" x14ac:dyDescent="0.2">
      <c r="A12" s="1"/>
      <c r="BE12" s="8"/>
      <c r="BF12" s="8"/>
      <c r="BG12" s="8"/>
      <c r="BH12" s="8"/>
    </row>
    <row r="13" spans="1:60" ht="15" x14ac:dyDescent="0.25">
      <c r="A13" s="1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</row>
    <row r="14" spans="1:60" ht="15" x14ac:dyDescent="0.25">
      <c r="A14" s="1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</row>
    <row r="15" spans="1:60" ht="15" x14ac:dyDescent="0.25">
      <c r="A15" s="1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</row>
    <row r="16" spans="1:60" ht="15" x14ac:dyDescent="0.25">
      <c r="A16" s="1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</row>
    <row r="17" spans="1:60" ht="15" x14ac:dyDescent="0.25">
      <c r="A17" s="1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</row>
    <row r="18" spans="1:60" ht="15" x14ac:dyDescent="0.25">
      <c r="A18" s="1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</row>
    <row r="19" spans="1:60" ht="15" x14ac:dyDescent="0.25">
      <c r="A19" s="1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</row>
    <row r="20" spans="1:60" ht="15" x14ac:dyDescent="0.25">
      <c r="A20" s="1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</row>
    <row r="21" spans="1:60" ht="15" x14ac:dyDescent="0.25">
      <c r="A21" s="1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</row>
    <row r="22" spans="1:60" ht="15" x14ac:dyDescent="0.25">
      <c r="A22" s="1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</row>
    <row r="23" spans="1:60" ht="15" x14ac:dyDescent="0.25">
      <c r="A23" s="1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</row>
    <row r="24" spans="1:60" ht="15" x14ac:dyDescent="0.25">
      <c r="A24" s="1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</row>
    <row r="25" spans="1:60" ht="15" x14ac:dyDescent="0.25">
      <c r="A25" s="1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</row>
    <row r="26" spans="1:60" ht="15" x14ac:dyDescent="0.25">
      <c r="A26" s="1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</row>
    <row r="27" spans="1:60" ht="15" x14ac:dyDescent="0.25">
      <c r="A27" s="1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</row>
    <row r="28" spans="1:60" ht="15" x14ac:dyDescent="0.25">
      <c r="A28" s="1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</row>
    <row r="29" spans="1:60" ht="15" x14ac:dyDescent="0.25">
      <c r="A29" s="1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</row>
    <row r="30" spans="1:60" ht="15" x14ac:dyDescent="0.25">
      <c r="A30" s="1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</row>
    <row r="31" spans="1:60" ht="15" x14ac:dyDescent="0.25">
      <c r="A31" s="1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</row>
    <row r="32" spans="1:60" ht="15" x14ac:dyDescent="0.25">
      <c r="A32" s="1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</row>
    <row r="33" spans="1:60" ht="15" x14ac:dyDescent="0.25">
      <c r="A33" s="1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</row>
    <row r="34" spans="1:60" ht="15" x14ac:dyDescent="0.25">
      <c r="A34" s="1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</row>
    <row r="35" spans="1:60" ht="15" x14ac:dyDescent="0.25">
      <c r="A35" s="1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</row>
    <row r="36" spans="1:60" ht="15" x14ac:dyDescent="0.25">
      <c r="A36" s="1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</row>
    <row r="37" spans="1:60" ht="15" x14ac:dyDescent="0.25">
      <c r="A37" s="1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</row>
    <row r="38" spans="1:60" ht="15" x14ac:dyDescent="0.25">
      <c r="A38" s="1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</row>
    <row r="39" spans="1:60" ht="15" x14ac:dyDescent="0.25">
      <c r="A39" s="1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</row>
    <row r="40" spans="1:60" ht="15" x14ac:dyDescent="0.25">
      <c r="A40" s="1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</row>
    <row r="41" spans="1:60" ht="15" x14ac:dyDescent="0.25">
      <c r="A41" s="1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</row>
    <row r="42" spans="1:60" ht="15" x14ac:dyDescent="0.25">
      <c r="A42" s="1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</row>
    <row r="43" spans="1:60" ht="15" x14ac:dyDescent="0.25">
      <c r="A43" s="1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</row>
    <row r="44" spans="1:60" ht="15" x14ac:dyDescent="0.25">
      <c r="A44" s="1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</row>
    <row r="45" spans="1:60" ht="15" x14ac:dyDescent="0.25">
      <c r="A45" s="1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</row>
    <row r="46" spans="1:60" ht="15" x14ac:dyDescent="0.25">
      <c r="A46" s="1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</row>
    <row r="47" spans="1:60" ht="15" x14ac:dyDescent="0.25">
      <c r="A47" s="1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</row>
    <row r="48" spans="1:60" ht="15" x14ac:dyDescent="0.25">
      <c r="A48" s="1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</row>
    <row r="49" spans="1:60" ht="15" x14ac:dyDescent="0.25">
      <c r="A49" s="1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</row>
    <row r="50" spans="1:60" ht="15" x14ac:dyDescent="0.25">
      <c r="A50" s="1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</row>
    <row r="51" spans="1:60" ht="15" x14ac:dyDescent="0.25">
      <c r="A51" s="1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</row>
    <row r="52" spans="1:60" ht="15" x14ac:dyDescent="0.25">
      <c r="A52" s="1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</row>
    <row r="53" spans="1:60" ht="15" x14ac:dyDescent="0.25">
      <c r="A53" s="1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</row>
    <row r="54" spans="1:60" ht="15" x14ac:dyDescent="0.25">
      <c r="A54" s="1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</row>
    <row r="55" spans="1:60" ht="15" x14ac:dyDescent="0.25">
      <c r="A55" s="1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</row>
    <row r="56" spans="1:60" ht="15" x14ac:dyDescent="0.25">
      <c r="A56" s="1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</row>
  </sheetData>
  <mergeCells count="11">
    <mergeCell ref="AZ1:BC1"/>
    <mergeCell ref="AA1:AD1"/>
    <mergeCell ref="AF1:AI1"/>
    <mergeCell ref="AK1:AN1"/>
    <mergeCell ref="AP1:AS1"/>
    <mergeCell ref="AU1:AX1"/>
    <mergeCell ref="B1:E1"/>
    <mergeCell ref="G1:J1"/>
    <mergeCell ref="L1:O1"/>
    <mergeCell ref="Q1:T1"/>
    <mergeCell ref="V1:Y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M60"/>
  <sheetViews>
    <sheetView zoomScaleNormal="100" workbookViewId="0"/>
  </sheetViews>
  <sheetFormatPr defaultColWidth="4.28515625" defaultRowHeight="12.75" x14ac:dyDescent="0.2"/>
  <cols>
    <col min="1" max="1" width="8" style="2" customWidth="1"/>
    <col min="2" max="5" width="4" style="2" bestFit="1" customWidth="1"/>
    <col min="6" max="6" width="4" style="2" customWidth="1"/>
    <col min="7" max="10" width="4" style="2" bestFit="1" customWidth="1"/>
    <col min="11" max="11" width="4" style="2" customWidth="1"/>
    <col min="12" max="15" width="4" style="2" bestFit="1" customWidth="1"/>
    <col min="16" max="16" width="4" style="2" customWidth="1"/>
    <col min="17" max="20" width="4" style="2" bestFit="1" customWidth="1"/>
    <col min="21" max="21" width="4" style="2" customWidth="1"/>
    <col min="22" max="25" width="4" style="2" bestFit="1" customWidth="1"/>
    <col min="26" max="26" width="4" style="2" customWidth="1"/>
    <col min="27" max="30" width="4" style="2" bestFit="1" customWidth="1"/>
    <col min="31" max="31" width="4" style="2" customWidth="1"/>
    <col min="32" max="35" width="4" style="2" bestFit="1" customWidth="1"/>
    <col min="36" max="36" width="4" style="2" customWidth="1"/>
    <col min="37" max="40" width="4" style="2" bestFit="1" customWidth="1"/>
    <col min="41" max="41" width="4" style="2" customWidth="1"/>
    <col min="42" max="45" width="4" style="2" bestFit="1" customWidth="1"/>
    <col min="46" max="46" width="4" style="2" customWidth="1"/>
    <col min="47" max="50" width="4" style="2" bestFit="1" customWidth="1"/>
    <col min="51" max="51" width="4" style="2" customWidth="1"/>
    <col min="52" max="55" width="4" style="2" bestFit="1" customWidth="1"/>
    <col min="56" max="56" width="4" style="2" customWidth="1"/>
    <col min="57" max="60" width="4" style="2" bestFit="1" customWidth="1"/>
    <col min="61" max="16384" width="4.28515625" style="2"/>
  </cols>
  <sheetData>
    <row r="1" spans="1:65" s="1" customFormat="1" x14ac:dyDescent="0.2">
      <c r="B1" s="18" t="s">
        <v>7</v>
      </c>
      <c r="C1" s="18"/>
      <c r="D1" s="18"/>
      <c r="E1" s="18"/>
      <c r="F1" s="15"/>
      <c r="G1" s="18" t="s">
        <v>8</v>
      </c>
      <c r="H1" s="18"/>
      <c r="I1" s="18"/>
      <c r="J1" s="18"/>
      <c r="K1" s="15"/>
      <c r="L1" s="18" t="s">
        <v>9</v>
      </c>
      <c r="M1" s="18"/>
      <c r="N1" s="18"/>
      <c r="O1" s="18"/>
      <c r="P1" s="15"/>
      <c r="Q1" s="18" t="s">
        <v>10</v>
      </c>
      <c r="R1" s="18"/>
      <c r="S1" s="18"/>
      <c r="T1" s="18"/>
      <c r="U1" s="15"/>
      <c r="V1" s="18" t="s">
        <v>11</v>
      </c>
      <c r="W1" s="18"/>
      <c r="X1" s="18"/>
      <c r="Y1" s="18"/>
      <c r="Z1" s="15"/>
      <c r="AA1" s="18" t="s">
        <v>12</v>
      </c>
      <c r="AB1" s="18"/>
      <c r="AC1" s="18"/>
      <c r="AD1" s="18"/>
      <c r="AE1" s="15"/>
      <c r="AF1" s="18" t="s">
        <v>13</v>
      </c>
      <c r="AG1" s="18"/>
      <c r="AH1" s="18"/>
      <c r="AI1" s="18"/>
      <c r="AJ1" s="15"/>
      <c r="AK1" s="18" t="s">
        <v>14</v>
      </c>
      <c r="AL1" s="18"/>
      <c r="AM1" s="18"/>
      <c r="AN1" s="18"/>
      <c r="AO1" s="15"/>
      <c r="AP1" s="18" t="s">
        <v>15</v>
      </c>
      <c r="AQ1" s="18"/>
      <c r="AR1" s="18"/>
      <c r="AS1" s="18"/>
      <c r="AT1" s="15"/>
      <c r="AU1" s="18" t="s">
        <v>16</v>
      </c>
      <c r="AV1" s="18"/>
      <c r="AW1" s="18"/>
      <c r="AX1" s="18"/>
      <c r="AY1" s="15"/>
      <c r="AZ1" s="18" t="s">
        <v>17</v>
      </c>
      <c r="BA1" s="18"/>
      <c r="BB1" s="18"/>
      <c r="BC1" s="18"/>
      <c r="BD1" s="15"/>
      <c r="BE1" s="18" t="s">
        <v>18</v>
      </c>
      <c r="BF1" s="18"/>
      <c r="BG1" s="18"/>
      <c r="BH1" s="18"/>
    </row>
    <row r="2" spans="1:65" s="8" customFormat="1" x14ac:dyDescent="0.2">
      <c r="B2" s="8" t="s">
        <v>25</v>
      </c>
      <c r="C2" s="8" t="s">
        <v>26</v>
      </c>
      <c r="D2" s="8" t="s">
        <v>27</v>
      </c>
      <c r="E2" s="8" t="s">
        <v>28</v>
      </c>
      <c r="F2" s="15"/>
      <c r="G2" s="8" t="s">
        <v>25</v>
      </c>
      <c r="H2" s="8" t="s">
        <v>26</v>
      </c>
      <c r="I2" s="8" t="s">
        <v>27</v>
      </c>
      <c r="J2" s="8" t="s">
        <v>28</v>
      </c>
      <c r="K2" s="15"/>
      <c r="L2" s="8" t="s">
        <v>25</v>
      </c>
      <c r="M2" s="8" t="s">
        <v>26</v>
      </c>
      <c r="N2" s="8" t="s">
        <v>27</v>
      </c>
      <c r="O2" s="8" t="s">
        <v>28</v>
      </c>
      <c r="P2" s="15"/>
      <c r="Q2" s="8" t="s">
        <v>25</v>
      </c>
      <c r="R2" s="8" t="s">
        <v>26</v>
      </c>
      <c r="S2" s="8" t="s">
        <v>27</v>
      </c>
      <c r="T2" s="8" t="s">
        <v>28</v>
      </c>
      <c r="U2" s="15"/>
      <c r="V2" s="8" t="s">
        <v>25</v>
      </c>
      <c r="W2" s="8" t="s">
        <v>26</v>
      </c>
      <c r="X2" s="8" t="s">
        <v>27</v>
      </c>
      <c r="Y2" s="8" t="s">
        <v>28</v>
      </c>
      <c r="Z2" s="15"/>
      <c r="AA2" s="8" t="s">
        <v>25</v>
      </c>
      <c r="AB2" s="8" t="s">
        <v>26</v>
      </c>
      <c r="AC2" s="8" t="s">
        <v>27</v>
      </c>
      <c r="AD2" s="8" t="s">
        <v>28</v>
      </c>
      <c r="AE2" s="15"/>
      <c r="AF2" s="8" t="s">
        <v>25</v>
      </c>
      <c r="AG2" s="8" t="s">
        <v>26</v>
      </c>
      <c r="AH2" s="8" t="s">
        <v>27</v>
      </c>
      <c r="AI2" s="8" t="s">
        <v>28</v>
      </c>
      <c r="AJ2" s="15"/>
      <c r="AK2" s="8" t="s">
        <v>25</v>
      </c>
      <c r="AL2" s="8" t="s">
        <v>26</v>
      </c>
      <c r="AM2" s="8" t="s">
        <v>27</v>
      </c>
      <c r="AN2" s="8" t="s">
        <v>28</v>
      </c>
      <c r="AO2" s="15"/>
      <c r="AP2" s="8" t="s">
        <v>25</v>
      </c>
      <c r="AQ2" s="8" t="s">
        <v>26</v>
      </c>
      <c r="AR2" s="8" t="s">
        <v>27</v>
      </c>
      <c r="AS2" s="8" t="s">
        <v>28</v>
      </c>
      <c r="AT2" s="15"/>
      <c r="AU2" s="8" t="s">
        <v>25</v>
      </c>
      <c r="AV2" s="8" t="s">
        <v>26</v>
      </c>
      <c r="AW2" s="8" t="s">
        <v>27</v>
      </c>
      <c r="AX2" s="8" t="s">
        <v>28</v>
      </c>
      <c r="AY2" s="15"/>
      <c r="AZ2" s="8" t="s">
        <v>25</v>
      </c>
      <c r="BA2" s="8" t="s">
        <v>26</v>
      </c>
      <c r="BB2" s="8" t="s">
        <v>27</v>
      </c>
      <c r="BC2" s="8" t="s">
        <v>28</v>
      </c>
      <c r="BD2" s="15"/>
      <c r="BE2" s="8" t="s">
        <v>25</v>
      </c>
      <c r="BF2" s="8" t="s">
        <v>26</v>
      </c>
      <c r="BG2" s="8" t="s">
        <v>27</v>
      </c>
      <c r="BH2" s="8" t="s">
        <v>28</v>
      </c>
    </row>
    <row r="3" spans="1:65" x14ac:dyDescent="0.2">
      <c r="A3" s="1" t="s">
        <v>0</v>
      </c>
      <c r="B3" s="14">
        <v>1</v>
      </c>
      <c r="C3" s="2">
        <v>13</v>
      </c>
      <c r="D3" s="2">
        <f>24+1</f>
        <v>25</v>
      </c>
      <c r="E3" s="2">
        <f>24+13</f>
        <v>37</v>
      </c>
      <c r="G3" s="14">
        <v>2</v>
      </c>
      <c r="H3" s="2">
        <v>19</v>
      </c>
      <c r="I3" s="2">
        <f>24+4</f>
        <v>28</v>
      </c>
      <c r="J3" s="2">
        <f>24+21</f>
        <v>45</v>
      </c>
      <c r="L3" s="14">
        <v>3</v>
      </c>
      <c r="M3" s="2">
        <v>21</v>
      </c>
      <c r="N3" s="2">
        <f>24+7</f>
        <v>31</v>
      </c>
      <c r="O3" s="2">
        <f>24+14</f>
        <v>38</v>
      </c>
      <c r="Q3" s="14">
        <v>4</v>
      </c>
      <c r="R3" s="2">
        <v>15</v>
      </c>
      <c r="S3" s="2">
        <f>24+2</f>
        <v>26</v>
      </c>
      <c r="T3" s="2">
        <f>24+24</f>
        <v>48</v>
      </c>
      <c r="V3" s="14">
        <v>5</v>
      </c>
      <c r="W3" s="2">
        <v>20</v>
      </c>
      <c r="X3" s="2">
        <f>24+10</f>
        <v>34</v>
      </c>
      <c r="Y3" s="2">
        <f>24+18</f>
        <v>42</v>
      </c>
      <c r="AA3" s="14">
        <v>6</v>
      </c>
      <c r="AB3" s="2">
        <v>14</v>
      </c>
      <c r="AC3" s="2">
        <f>24+12</f>
        <v>36</v>
      </c>
      <c r="AD3" s="2">
        <f>24+22</f>
        <v>46</v>
      </c>
      <c r="AF3" s="14">
        <v>7</v>
      </c>
      <c r="AG3" s="2">
        <v>22</v>
      </c>
      <c r="AH3" s="2">
        <f>24+3</f>
        <v>27</v>
      </c>
      <c r="AI3" s="2">
        <f>24+16</f>
        <v>40</v>
      </c>
      <c r="AK3" s="14">
        <v>8</v>
      </c>
      <c r="AL3" s="2">
        <v>24</v>
      </c>
      <c r="AM3" s="2">
        <f>24+9</f>
        <v>33</v>
      </c>
      <c r="AN3" s="2">
        <f>24+23</f>
        <v>47</v>
      </c>
      <c r="AP3" s="14">
        <v>9</v>
      </c>
      <c r="AQ3" s="2">
        <v>17</v>
      </c>
      <c r="AR3" s="2">
        <f>24+6</f>
        <v>30</v>
      </c>
      <c r="AS3" s="2">
        <f>24+15</f>
        <v>39</v>
      </c>
      <c r="AU3" s="14">
        <v>10</v>
      </c>
      <c r="AV3" s="2">
        <v>23</v>
      </c>
      <c r="AW3" s="2">
        <f>24+5</f>
        <v>29</v>
      </c>
      <c r="AX3" s="2">
        <f>24+20</f>
        <v>44</v>
      </c>
      <c r="AZ3" s="14">
        <v>11</v>
      </c>
      <c r="BA3" s="2">
        <v>18</v>
      </c>
      <c r="BB3" s="2">
        <f>24+8</f>
        <v>32</v>
      </c>
      <c r="BC3" s="2">
        <f>24+19</f>
        <v>43</v>
      </c>
      <c r="BE3" s="14">
        <v>12</v>
      </c>
      <c r="BF3" s="2">
        <v>16</v>
      </c>
      <c r="BG3" s="2">
        <f>24+11</f>
        <v>35</v>
      </c>
      <c r="BH3" s="2">
        <f>24+17</f>
        <v>41</v>
      </c>
    </row>
    <row r="4" spans="1:65" x14ac:dyDescent="0.2">
      <c r="A4" s="1" t="s">
        <v>1</v>
      </c>
      <c r="B4" s="14">
        <f>24+6</f>
        <v>30</v>
      </c>
      <c r="C4" s="2">
        <f>24+18</f>
        <v>42</v>
      </c>
      <c r="D4" s="2">
        <v>6</v>
      </c>
      <c r="E4" s="2">
        <v>18</v>
      </c>
      <c r="G4" s="14">
        <f>24+3</f>
        <v>27</v>
      </c>
      <c r="H4" s="2">
        <f>24+20</f>
        <v>44</v>
      </c>
      <c r="I4" s="2">
        <v>1</v>
      </c>
      <c r="J4" s="2">
        <v>24</v>
      </c>
      <c r="L4" s="14">
        <f>24+12</f>
        <v>36</v>
      </c>
      <c r="M4" s="2">
        <f>24+13</f>
        <v>37</v>
      </c>
      <c r="N4" s="2">
        <v>2</v>
      </c>
      <c r="O4" s="2">
        <v>20</v>
      </c>
      <c r="Q4" s="14">
        <f>24+1</f>
        <v>25</v>
      </c>
      <c r="R4" s="2">
        <f>24+23</f>
        <v>47</v>
      </c>
      <c r="S4" s="2">
        <v>3</v>
      </c>
      <c r="T4" s="2">
        <v>14</v>
      </c>
      <c r="V4" s="14">
        <f>24+9</f>
        <v>33</v>
      </c>
      <c r="W4" s="2">
        <f>24+17</f>
        <v>41</v>
      </c>
      <c r="X4" s="2">
        <v>4</v>
      </c>
      <c r="Y4" s="2">
        <v>19</v>
      </c>
      <c r="AA4" s="14">
        <f>24+11</f>
        <v>35</v>
      </c>
      <c r="AB4" s="2">
        <f>24+21</f>
        <v>45</v>
      </c>
      <c r="AC4" s="2">
        <v>5</v>
      </c>
      <c r="AD4" s="2">
        <v>13</v>
      </c>
      <c r="AF4" s="14">
        <f>24+2</f>
        <v>26</v>
      </c>
      <c r="AG4" s="2">
        <f>24+15</f>
        <v>39</v>
      </c>
      <c r="AH4" s="2">
        <v>12</v>
      </c>
      <c r="AI4" s="2">
        <v>21</v>
      </c>
      <c r="AK4" s="14">
        <f>24+8</f>
        <v>32</v>
      </c>
      <c r="AL4" s="2">
        <f>24+22</f>
        <v>46</v>
      </c>
      <c r="AM4" s="2">
        <v>7</v>
      </c>
      <c r="AN4" s="2">
        <v>23</v>
      </c>
      <c r="AP4" s="14">
        <f>24+5</f>
        <v>29</v>
      </c>
      <c r="AQ4" s="2">
        <f>24+14</f>
        <v>38</v>
      </c>
      <c r="AR4" s="2">
        <v>8</v>
      </c>
      <c r="AS4" s="2">
        <v>16</v>
      </c>
      <c r="AU4" s="14">
        <f>24+4</f>
        <v>28</v>
      </c>
      <c r="AV4" s="2">
        <f>24+19</f>
        <v>43</v>
      </c>
      <c r="AW4" s="2">
        <v>9</v>
      </c>
      <c r="AX4" s="2">
        <v>22</v>
      </c>
      <c r="AZ4" s="14">
        <f>24+7</f>
        <v>31</v>
      </c>
      <c r="BA4" s="2">
        <f>24+24</f>
        <v>48</v>
      </c>
      <c r="BB4" s="2">
        <v>10</v>
      </c>
      <c r="BC4" s="2">
        <v>17</v>
      </c>
      <c r="BE4" s="14">
        <f>24+10</f>
        <v>34</v>
      </c>
      <c r="BF4" s="2">
        <f>24+16</f>
        <v>40</v>
      </c>
      <c r="BG4" s="2">
        <v>11</v>
      </c>
      <c r="BH4" s="2">
        <v>15</v>
      </c>
    </row>
    <row r="5" spans="1:65" x14ac:dyDescent="0.2">
      <c r="A5" s="1" t="s">
        <v>2</v>
      </c>
      <c r="B5" s="14">
        <v>17</v>
      </c>
      <c r="C5" s="2">
        <f>24+5</f>
        <v>29</v>
      </c>
      <c r="D5" s="2">
        <f>24+17</f>
        <v>41</v>
      </c>
      <c r="E5" s="2">
        <v>5</v>
      </c>
      <c r="G5" s="14">
        <v>23</v>
      </c>
      <c r="H5" s="2">
        <f>24+2</f>
        <v>26</v>
      </c>
      <c r="I5" s="2">
        <f>24+19</f>
        <v>43</v>
      </c>
      <c r="J5" s="2">
        <v>6</v>
      </c>
      <c r="L5" s="14">
        <v>19</v>
      </c>
      <c r="M5" s="2">
        <f>24+11</f>
        <v>35</v>
      </c>
      <c r="N5" s="2">
        <f>24+18</f>
        <v>42</v>
      </c>
      <c r="O5" s="2">
        <v>1</v>
      </c>
      <c r="Q5" s="14">
        <v>13</v>
      </c>
      <c r="R5" s="2">
        <f>24+6</f>
        <v>30</v>
      </c>
      <c r="S5" s="2">
        <f>24+22</f>
        <v>46</v>
      </c>
      <c r="T5" s="2">
        <v>2</v>
      </c>
      <c r="V5" s="14">
        <v>24</v>
      </c>
      <c r="W5" s="2">
        <f>24+8</f>
        <v>32</v>
      </c>
      <c r="X5" s="2">
        <f>24+16</f>
        <v>40</v>
      </c>
      <c r="Y5" s="2">
        <v>3</v>
      </c>
      <c r="AA5" s="14">
        <v>18</v>
      </c>
      <c r="AB5" s="2">
        <f>24+10</f>
        <v>34</v>
      </c>
      <c r="AC5" s="2">
        <f>24+20</f>
        <v>44</v>
      </c>
      <c r="AD5" s="2">
        <v>4</v>
      </c>
      <c r="AF5" s="14">
        <v>20</v>
      </c>
      <c r="AG5" s="2">
        <f>24+1</f>
        <v>25</v>
      </c>
      <c r="AH5" s="2">
        <f>24+14</f>
        <v>38</v>
      </c>
      <c r="AI5" s="2">
        <v>11</v>
      </c>
      <c r="AK5" s="14">
        <v>22</v>
      </c>
      <c r="AL5" s="2">
        <f>24+7</f>
        <v>31</v>
      </c>
      <c r="AM5" s="2">
        <f>24+21</f>
        <v>45</v>
      </c>
      <c r="AN5" s="2">
        <v>12</v>
      </c>
      <c r="AP5" s="14">
        <v>15</v>
      </c>
      <c r="AQ5" s="2">
        <f>24+4</f>
        <v>28</v>
      </c>
      <c r="AR5" s="2">
        <f>24+13</f>
        <v>37</v>
      </c>
      <c r="AS5" s="2">
        <v>7</v>
      </c>
      <c r="AU5" s="14">
        <v>21</v>
      </c>
      <c r="AV5" s="2">
        <f>24+3</f>
        <v>27</v>
      </c>
      <c r="AW5" s="2">
        <f>24+24</f>
        <v>48</v>
      </c>
      <c r="AX5" s="2">
        <v>8</v>
      </c>
      <c r="AZ5" s="14">
        <v>16</v>
      </c>
      <c r="BA5" s="2">
        <f>24+12</f>
        <v>36</v>
      </c>
      <c r="BB5" s="2">
        <f>24+23</f>
        <v>47</v>
      </c>
      <c r="BC5" s="2">
        <v>9</v>
      </c>
      <c r="BE5" s="14">
        <v>14</v>
      </c>
      <c r="BF5" s="2">
        <f>24+9</f>
        <v>33</v>
      </c>
      <c r="BG5" s="2">
        <f>24+15</f>
        <v>39</v>
      </c>
      <c r="BH5" s="2">
        <v>10</v>
      </c>
    </row>
    <row r="6" spans="1:65" x14ac:dyDescent="0.2">
      <c r="A6" s="1" t="s">
        <v>3</v>
      </c>
      <c r="B6" s="14">
        <f>24+16</f>
        <v>40</v>
      </c>
      <c r="C6" s="2">
        <v>4</v>
      </c>
      <c r="D6" s="2">
        <v>16</v>
      </c>
      <c r="E6" s="2">
        <f>24+4</f>
        <v>28</v>
      </c>
      <c r="G6" s="14">
        <f>24+24</f>
        <v>48</v>
      </c>
      <c r="H6" s="2">
        <v>5</v>
      </c>
      <c r="I6" s="2">
        <v>22</v>
      </c>
      <c r="J6" s="2">
        <f>24+1</f>
        <v>25</v>
      </c>
      <c r="L6" s="14">
        <f>24+17</f>
        <v>41</v>
      </c>
      <c r="M6" s="2">
        <v>6</v>
      </c>
      <c r="N6" s="2">
        <v>24</v>
      </c>
      <c r="O6" s="2">
        <f>24+10</f>
        <v>34</v>
      </c>
      <c r="Q6" s="14">
        <f>24+21</f>
        <v>45</v>
      </c>
      <c r="R6" s="2">
        <v>1</v>
      </c>
      <c r="S6" s="2">
        <v>18</v>
      </c>
      <c r="T6" s="2">
        <f>24+5</f>
        <v>29</v>
      </c>
      <c r="V6" s="14">
        <f>24+15</f>
        <v>39</v>
      </c>
      <c r="W6" s="2">
        <v>2</v>
      </c>
      <c r="X6" s="2">
        <v>23</v>
      </c>
      <c r="Y6" s="2">
        <f>24+7</f>
        <v>31</v>
      </c>
      <c r="AA6" s="14">
        <f>24+19</f>
        <v>43</v>
      </c>
      <c r="AB6" s="2">
        <v>3</v>
      </c>
      <c r="AC6" s="2">
        <v>17</v>
      </c>
      <c r="AD6" s="2">
        <f>24+9</f>
        <v>33</v>
      </c>
      <c r="AF6" s="14">
        <f>24+13</f>
        <v>37</v>
      </c>
      <c r="AG6" s="2">
        <v>10</v>
      </c>
      <c r="AH6" s="2">
        <v>19</v>
      </c>
      <c r="AI6" s="2">
        <f>24+6</f>
        <v>30</v>
      </c>
      <c r="AK6" s="14">
        <f>24+20</f>
        <v>44</v>
      </c>
      <c r="AL6" s="2">
        <v>11</v>
      </c>
      <c r="AM6" s="2">
        <v>21</v>
      </c>
      <c r="AN6" s="2">
        <f>24+12</f>
        <v>36</v>
      </c>
      <c r="AP6" s="14">
        <f>24+18</f>
        <v>42</v>
      </c>
      <c r="AQ6" s="2">
        <v>12</v>
      </c>
      <c r="AR6" s="2">
        <v>14</v>
      </c>
      <c r="AS6" s="2">
        <f>24+3</f>
        <v>27</v>
      </c>
      <c r="AU6" s="14">
        <f>24+23</f>
        <v>47</v>
      </c>
      <c r="AV6" s="2">
        <v>7</v>
      </c>
      <c r="AW6" s="2">
        <v>20</v>
      </c>
      <c r="AX6" s="2">
        <f>24+2</f>
        <v>26</v>
      </c>
      <c r="AZ6" s="14">
        <f>24+22</f>
        <v>46</v>
      </c>
      <c r="BA6" s="2">
        <v>8</v>
      </c>
      <c r="BB6" s="2">
        <v>15</v>
      </c>
      <c r="BC6" s="2">
        <f>24+11</f>
        <v>35</v>
      </c>
      <c r="BE6" s="14">
        <f>24+14</f>
        <v>38</v>
      </c>
      <c r="BF6" s="2">
        <v>9</v>
      </c>
      <c r="BG6" s="2">
        <v>13</v>
      </c>
      <c r="BH6" s="2">
        <f>24+8</f>
        <v>32</v>
      </c>
    </row>
    <row r="7" spans="1:65" x14ac:dyDescent="0.2">
      <c r="A7" s="1" t="s">
        <v>4</v>
      </c>
      <c r="B7" s="14">
        <v>3</v>
      </c>
      <c r="C7" s="2">
        <v>15</v>
      </c>
      <c r="D7" s="2">
        <f>24+3</f>
        <v>27</v>
      </c>
      <c r="E7" s="2">
        <f>24+15</f>
        <v>39</v>
      </c>
      <c r="G7" s="14">
        <v>4</v>
      </c>
      <c r="H7" s="2">
        <v>21</v>
      </c>
      <c r="I7" s="2">
        <f>24+6</f>
        <v>30</v>
      </c>
      <c r="J7" s="2">
        <f>24+23</f>
        <v>47</v>
      </c>
      <c r="L7" s="14">
        <v>5</v>
      </c>
      <c r="M7" s="2">
        <v>23</v>
      </c>
      <c r="N7" s="2">
        <f>24+9</f>
        <v>33</v>
      </c>
      <c r="O7" s="2">
        <f>24+16</f>
        <v>40</v>
      </c>
      <c r="Q7" s="14">
        <v>6</v>
      </c>
      <c r="R7" s="2">
        <v>17</v>
      </c>
      <c r="S7" s="2">
        <f>24+4</f>
        <v>28</v>
      </c>
      <c r="T7" s="2">
        <f>24+20</f>
        <v>44</v>
      </c>
      <c r="V7" s="14">
        <v>1</v>
      </c>
      <c r="W7" s="2">
        <v>22</v>
      </c>
      <c r="X7" s="2">
        <f>24+12</f>
        <v>36</v>
      </c>
      <c r="Y7" s="2">
        <f>24+14</f>
        <v>38</v>
      </c>
      <c r="AA7" s="14">
        <v>2</v>
      </c>
      <c r="AB7" s="2">
        <v>16</v>
      </c>
      <c r="AC7" s="2">
        <f>24+8</f>
        <v>32</v>
      </c>
      <c r="AD7" s="2">
        <f>24+24</f>
        <v>48</v>
      </c>
      <c r="AF7" s="14">
        <v>9</v>
      </c>
      <c r="AG7" s="2">
        <v>24</v>
      </c>
      <c r="AH7" s="2">
        <f>24+5</f>
        <v>29</v>
      </c>
      <c r="AI7" s="2">
        <f>24+18</f>
        <v>42</v>
      </c>
      <c r="AK7" s="14">
        <v>10</v>
      </c>
      <c r="AL7" s="2">
        <v>20</v>
      </c>
      <c r="AM7" s="2">
        <f>24+11</f>
        <v>35</v>
      </c>
      <c r="AN7" s="2">
        <f>24+19</f>
        <v>43</v>
      </c>
      <c r="AP7" s="14">
        <v>11</v>
      </c>
      <c r="AQ7" s="2">
        <v>13</v>
      </c>
      <c r="AR7" s="2">
        <f>24+2</f>
        <v>26</v>
      </c>
      <c r="AS7" s="2">
        <f>24+17</f>
        <v>41</v>
      </c>
      <c r="AU7" s="14">
        <v>12</v>
      </c>
      <c r="AV7" s="2">
        <v>19</v>
      </c>
      <c r="AW7" s="2">
        <f>24+1</f>
        <v>25</v>
      </c>
      <c r="AX7" s="2">
        <f>24+22</f>
        <v>46</v>
      </c>
      <c r="AZ7" s="14">
        <v>7</v>
      </c>
      <c r="BA7" s="2">
        <v>14</v>
      </c>
      <c r="BB7" s="2">
        <f>24+10</f>
        <v>34</v>
      </c>
      <c r="BC7" s="2">
        <f>24+21</f>
        <v>45</v>
      </c>
      <c r="BE7" s="14">
        <v>8</v>
      </c>
      <c r="BF7" s="2">
        <v>18</v>
      </c>
      <c r="BG7" s="2">
        <f>24+7</f>
        <v>31</v>
      </c>
      <c r="BH7" s="2">
        <f>24+13</f>
        <v>37</v>
      </c>
    </row>
    <row r="8" spans="1:65" x14ac:dyDescent="0.2">
      <c r="A8" s="1" t="s">
        <v>5</v>
      </c>
      <c r="B8" s="14">
        <f>24+2</f>
        <v>26</v>
      </c>
      <c r="C8" s="2">
        <f>24+14</f>
        <v>38</v>
      </c>
      <c r="D8" s="2">
        <v>2</v>
      </c>
      <c r="E8" s="2">
        <v>14</v>
      </c>
      <c r="G8" s="14">
        <f>24+5</f>
        <v>29</v>
      </c>
      <c r="H8" s="2">
        <f>24+22</f>
        <v>46</v>
      </c>
      <c r="I8" s="2">
        <v>3</v>
      </c>
      <c r="J8" s="2">
        <v>20</v>
      </c>
      <c r="L8" s="14">
        <f>24+8</f>
        <v>32</v>
      </c>
      <c r="M8" s="2">
        <f>24+15</f>
        <v>39</v>
      </c>
      <c r="N8" s="2">
        <v>4</v>
      </c>
      <c r="O8" s="2">
        <v>22</v>
      </c>
      <c r="Q8" s="14">
        <f>24+3</f>
        <v>27</v>
      </c>
      <c r="R8" s="2">
        <f>24+19</f>
        <v>43</v>
      </c>
      <c r="S8" s="2">
        <v>5</v>
      </c>
      <c r="T8" s="2">
        <v>16</v>
      </c>
      <c r="V8" s="14">
        <f>24+11</f>
        <v>35</v>
      </c>
      <c r="W8" s="2">
        <f>24+13</f>
        <v>37</v>
      </c>
      <c r="X8" s="2">
        <v>6</v>
      </c>
      <c r="Y8" s="2">
        <v>21</v>
      </c>
      <c r="AA8" s="14">
        <f>24+7</f>
        <v>31</v>
      </c>
      <c r="AB8" s="2">
        <f>24+23</f>
        <v>47</v>
      </c>
      <c r="AC8" s="2">
        <v>1</v>
      </c>
      <c r="AD8" s="2">
        <v>15</v>
      </c>
      <c r="AF8" s="14">
        <f>24+4</f>
        <v>28</v>
      </c>
      <c r="AG8" s="2">
        <f>24+17</f>
        <v>41</v>
      </c>
      <c r="AH8" s="2">
        <v>8</v>
      </c>
      <c r="AI8" s="2">
        <v>23</v>
      </c>
      <c r="AK8" s="14">
        <f>24+10</f>
        <v>34</v>
      </c>
      <c r="AL8" s="2">
        <f>24+24</f>
        <v>48</v>
      </c>
      <c r="AM8" s="2">
        <v>9</v>
      </c>
      <c r="AN8" s="2">
        <v>19</v>
      </c>
      <c r="AP8" s="14">
        <f>24+1</f>
        <v>25</v>
      </c>
      <c r="AQ8" s="2">
        <f>24+16</f>
        <v>40</v>
      </c>
      <c r="AR8" s="2">
        <v>10</v>
      </c>
      <c r="AS8" s="2">
        <v>18</v>
      </c>
      <c r="AU8" s="14">
        <f>24+6</f>
        <v>30</v>
      </c>
      <c r="AV8" s="2">
        <f>24+21</f>
        <v>45</v>
      </c>
      <c r="AW8" s="2">
        <v>11</v>
      </c>
      <c r="AX8" s="2">
        <v>24</v>
      </c>
      <c r="AZ8" s="14">
        <f>24+9</f>
        <v>33</v>
      </c>
      <c r="BA8" s="2">
        <f>24+20</f>
        <v>44</v>
      </c>
      <c r="BB8" s="2">
        <v>12</v>
      </c>
      <c r="BC8" s="2">
        <v>13</v>
      </c>
      <c r="BE8" s="14">
        <f>24+12</f>
        <v>36</v>
      </c>
      <c r="BF8" s="2">
        <f>24+18</f>
        <v>42</v>
      </c>
      <c r="BG8" s="2">
        <v>7</v>
      </c>
      <c r="BH8" s="2">
        <v>17</v>
      </c>
    </row>
    <row r="9" spans="1:65" x14ac:dyDescent="0.2">
      <c r="A9" s="1" t="s">
        <v>6</v>
      </c>
      <c r="B9" s="14">
        <v>19</v>
      </c>
      <c r="C9" s="2">
        <f>24+7</f>
        <v>31</v>
      </c>
      <c r="D9" s="2">
        <f>24+19</f>
        <v>43</v>
      </c>
      <c r="E9" s="2">
        <v>7</v>
      </c>
      <c r="G9" s="14">
        <v>13</v>
      </c>
      <c r="H9" s="2">
        <f>24+10</f>
        <v>34</v>
      </c>
      <c r="I9" s="2">
        <f>24+15</f>
        <v>39</v>
      </c>
      <c r="J9" s="2">
        <v>8</v>
      </c>
      <c r="L9" s="14">
        <v>15</v>
      </c>
      <c r="M9" s="2">
        <f>24+1</f>
        <v>25</v>
      </c>
      <c r="N9" s="2">
        <f>24+20</f>
        <v>44</v>
      </c>
      <c r="O9" s="2">
        <v>9</v>
      </c>
      <c r="Q9" s="14">
        <v>21</v>
      </c>
      <c r="R9" s="2">
        <f>24+8</f>
        <v>32</v>
      </c>
      <c r="S9" s="2">
        <f>24+18</f>
        <v>42</v>
      </c>
      <c r="T9" s="2">
        <v>10</v>
      </c>
      <c r="V9" s="14">
        <v>14</v>
      </c>
      <c r="W9" s="2">
        <f>24+4</f>
        <v>28</v>
      </c>
      <c r="X9" s="2">
        <f>24+24</f>
        <v>48</v>
      </c>
      <c r="Y9" s="2">
        <v>11</v>
      </c>
      <c r="AA9" s="14">
        <v>20</v>
      </c>
      <c r="AB9" s="2">
        <f>24+6</f>
        <v>30</v>
      </c>
      <c r="AC9" s="2">
        <f>24+16</f>
        <v>40</v>
      </c>
      <c r="AD9" s="2">
        <v>12</v>
      </c>
      <c r="AF9" s="14">
        <v>16</v>
      </c>
      <c r="AG9" s="2">
        <f>24+9</f>
        <v>33</v>
      </c>
      <c r="AH9" s="2">
        <f>24+22</f>
        <v>46</v>
      </c>
      <c r="AI9" s="2">
        <v>1</v>
      </c>
      <c r="AK9" s="14">
        <v>18</v>
      </c>
      <c r="AL9" s="2">
        <f>24+3</f>
        <v>27</v>
      </c>
      <c r="AM9" s="2">
        <f>24+17</f>
        <v>41</v>
      </c>
      <c r="AN9" s="2">
        <v>2</v>
      </c>
      <c r="AP9" s="14">
        <v>23</v>
      </c>
      <c r="AQ9" s="2">
        <f>24+12</f>
        <v>36</v>
      </c>
      <c r="AR9" s="2">
        <f>24+21</f>
        <v>45</v>
      </c>
      <c r="AS9" s="2">
        <v>3</v>
      </c>
      <c r="AU9" s="14">
        <v>17</v>
      </c>
      <c r="AV9" s="2">
        <f>24+11</f>
        <v>35</v>
      </c>
      <c r="AW9" s="2">
        <f>24+14</f>
        <v>38</v>
      </c>
      <c r="AX9" s="2">
        <v>4</v>
      </c>
      <c r="AZ9" s="14">
        <v>24</v>
      </c>
      <c r="BA9" s="2">
        <f>24+2</f>
        <v>26</v>
      </c>
      <c r="BB9" s="2">
        <f>24+13</f>
        <v>37</v>
      </c>
      <c r="BC9" s="2">
        <v>5</v>
      </c>
      <c r="BE9" s="14">
        <v>22</v>
      </c>
      <c r="BF9" s="2">
        <f>24+5</f>
        <v>29</v>
      </c>
      <c r="BG9" s="2">
        <f>24+23</f>
        <v>47</v>
      </c>
      <c r="BH9" s="2">
        <v>6</v>
      </c>
    </row>
    <row r="10" spans="1:65" x14ac:dyDescent="0.2">
      <c r="A10" s="1"/>
    </row>
    <row r="11" spans="1:65" x14ac:dyDescent="0.2">
      <c r="A11" s="1"/>
    </row>
    <row r="12" spans="1:65" x14ac:dyDescent="0.2">
      <c r="A12" s="1"/>
      <c r="BJ12" s="8"/>
      <c r="BK12" s="8"/>
      <c r="BL12" s="8"/>
      <c r="BM12" s="8"/>
    </row>
    <row r="13" spans="1:65" ht="15" x14ac:dyDescent="0.25">
      <c r="A13" s="1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</row>
    <row r="14" spans="1:65" ht="15" x14ac:dyDescent="0.25">
      <c r="A14" s="1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</row>
    <row r="15" spans="1:65" ht="15" x14ac:dyDescent="0.25">
      <c r="A15" s="1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</row>
    <row r="16" spans="1:65" ht="15" x14ac:dyDescent="0.25">
      <c r="A16" s="1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</row>
    <row r="17" spans="1:65" ht="15" x14ac:dyDescent="0.25">
      <c r="A17" s="1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</row>
    <row r="18" spans="1:65" ht="15" x14ac:dyDescent="0.25">
      <c r="A18" s="1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</row>
    <row r="19" spans="1:65" ht="15" x14ac:dyDescent="0.25">
      <c r="A19" s="1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</row>
    <row r="20" spans="1:65" ht="15" x14ac:dyDescent="0.25">
      <c r="A20" s="1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</row>
    <row r="21" spans="1:65" ht="15" x14ac:dyDescent="0.25">
      <c r="A21" s="1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</row>
    <row r="22" spans="1:65" ht="15" x14ac:dyDescent="0.25">
      <c r="A22" s="1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</row>
    <row r="23" spans="1:65" ht="15" x14ac:dyDescent="0.25">
      <c r="A23" s="1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</row>
    <row r="24" spans="1:65" ht="15" x14ac:dyDescent="0.25">
      <c r="A24" s="1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</row>
    <row r="25" spans="1:65" ht="15" x14ac:dyDescent="0.25">
      <c r="A25" s="1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</row>
    <row r="26" spans="1:65" ht="15" x14ac:dyDescent="0.25">
      <c r="A26" s="1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</row>
    <row r="27" spans="1:65" ht="15" x14ac:dyDescent="0.25">
      <c r="A27" s="1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</row>
    <row r="28" spans="1:65" ht="15" x14ac:dyDescent="0.25">
      <c r="A28" s="1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</row>
    <row r="29" spans="1:65" ht="15" x14ac:dyDescent="0.25">
      <c r="A29" s="1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</row>
    <row r="30" spans="1:65" ht="15" x14ac:dyDescent="0.25">
      <c r="A30" s="1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</row>
    <row r="31" spans="1:65" ht="15" x14ac:dyDescent="0.25">
      <c r="A31" s="1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</row>
    <row r="32" spans="1:65" ht="15" x14ac:dyDescent="0.25">
      <c r="A32" s="1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</row>
    <row r="33" spans="1:65" ht="15" x14ac:dyDescent="0.25">
      <c r="A33" s="1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</row>
    <row r="34" spans="1:65" ht="15" x14ac:dyDescent="0.25">
      <c r="A34" s="1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</row>
    <row r="35" spans="1:65" ht="15" x14ac:dyDescent="0.25">
      <c r="A35" s="1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</row>
    <row r="36" spans="1:65" ht="15" x14ac:dyDescent="0.25">
      <c r="A36" s="1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</row>
    <row r="37" spans="1:65" ht="15" x14ac:dyDescent="0.25">
      <c r="A37" s="1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</row>
    <row r="38" spans="1:65" ht="15" x14ac:dyDescent="0.25">
      <c r="A38" s="1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</row>
    <row r="39" spans="1:65" ht="15" x14ac:dyDescent="0.25">
      <c r="A39" s="1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</row>
    <row r="40" spans="1:65" ht="15" x14ac:dyDescent="0.25">
      <c r="A40" s="1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</row>
    <row r="41" spans="1:65" ht="15" x14ac:dyDescent="0.25">
      <c r="A41" s="1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</row>
    <row r="42" spans="1:65" ht="15" x14ac:dyDescent="0.25">
      <c r="A42" s="1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</row>
    <row r="43" spans="1:65" ht="15" x14ac:dyDescent="0.25">
      <c r="A43" s="1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</row>
    <row r="44" spans="1:65" ht="15" x14ac:dyDescent="0.25">
      <c r="A44" s="1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</row>
    <row r="45" spans="1:65" ht="15" x14ac:dyDescent="0.25">
      <c r="A45" s="1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</row>
    <row r="46" spans="1:65" ht="15" x14ac:dyDescent="0.25">
      <c r="A46" s="1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</row>
    <row r="47" spans="1:65" ht="15" x14ac:dyDescent="0.25">
      <c r="A47" s="1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</row>
    <row r="48" spans="1:65" ht="15" x14ac:dyDescent="0.25">
      <c r="A48" s="1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</row>
    <row r="49" spans="1:65" ht="15" x14ac:dyDescent="0.25">
      <c r="A49" s="1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</row>
    <row r="50" spans="1:65" ht="15" x14ac:dyDescent="0.25">
      <c r="A50" s="1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</row>
    <row r="51" spans="1:65" ht="15" x14ac:dyDescent="0.25">
      <c r="A51" s="1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</row>
    <row r="52" spans="1:65" ht="15" x14ac:dyDescent="0.25">
      <c r="A52" s="1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</row>
    <row r="53" spans="1:65" ht="15" x14ac:dyDescent="0.25">
      <c r="A53" s="1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</row>
    <row r="54" spans="1:65" ht="15" x14ac:dyDescent="0.25">
      <c r="A54" s="1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</row>
    <row r="55" spans="1:65" ht="15" x14ac:dyDescent="0.25">
      <c r="A55" s="1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</row>
    <row r="56" spans="1:65" ht="15" x14ac:dyDescent="0.25">
      <c r="A56" s="1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</row>
    <row r="57" spans="1:65" ht="15" x14ac:dyDescent="0.25">
      <c r="A57" s="1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</row>
    <row r="58" spans="1:65" ht="15" x14ac:dyDescent="0.25">
      <c r="A58" s="1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</row>
    <row r="59" spans="1:65" ht="15" x14ac:dyDescent="0.25">
      <c r="A59" s="1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</row>
    <row r="60" spans="1:65" ht="15" x14ac:dyDescent="0.25">
      <c r="A60" s="1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</row>
  </sheetData>
  <mergeCells count="12">
    <mergeCell ref="AZ1:BC1"/>
    <mergeCell ref="BE1:BH1"/>
    <mergeCell ref="AA1:AD1"/>
    <mergeCell ref="AF1:AI1"/>
    <mergeCell ref="AK1:AN1"/>
    <mergeCell ref="AP1:AS1"/>
    <mergeCell ref="AU1:AX1"/>
    <mergeCell ref="B1:E1"/>
    <mergeCell ref="G1:J1"/>
    <mergeCell ref="L1:O1"/>
    <mergeCell ref="Q1:T1"/>
    <mergeCell ref="V1:Y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R64"/>
  <sheetViews>
    <sheetView zoomScale="80" zoomScaleNormal="80" workbookViewId="0"/>
  </sheetViews>
  <sheetFormatPr defaultColWidth="4.85546875" defaultRowHeight="12.75" x14ac:dyDescent="0.2"/>
  <cols>
    <col min="1" max="1" width="8" style="2" customWidth="1"/>
    <col min="2" max="5" width="4" style="2" bestFit="1" customWidth="1"/>
    <col min="6" max="6" width="4" style="2" customWidth="1"/>
    <col min="7" max="10" width="4" style="2" bestFit="1" customWidth="1"/>
    <col min="11" max="11" width="4" style="2" customWidth="1"/>
    <col min="12" max="15" width="4" style="2" bestFit="1" customWidth="1"/>
    <col min="16" max="16" width="4" style="2" customWidth="1"/>
    <col min="17" max="20" width="4" style="2" bestFit="1" customWidth="1"/>
    <col min="21" max="21" width="4" style="2" customWidth="1"/>
    <col min="22" max="25" width="4" style="2" bestFit="1" customWidth="1"/>
    <col min="26" max="26" width="4" style="2" customWidth="1"/>
    <col min="27" max="30" width="4" style="2" bestFit="1" customWidth="1"/>
    <col min="31" max="31" width="4" style="2" customWidth="1"/>
    <col min="32" max="35" width="4" style="2" bestFit="1" customWidth="1"/>
    <col min="36" max="36" width="4" style="2" customWidth="1"/>
    <col min="37" max="40" width="4" style="2" bestFit="1" customWidth="1"/>
    <col min="41" max="41" width="4" style="2" customWidth="1"/>
    <col min="42" max="45" width="4" style="2" bestFit="1" customWidth="1"/>
    <col min="46" max="46" width="4" style="2" customWidth="1"/>
    <col min="47" max="50" width="4" style="2" bestFit="1" customWidth="1"/>
    <col min="51" max="51" width="4" style="2" customWidth="1"/>
    <col min="52" max="55" width="4" style="2" bestFit="1" customWidth="1"/>
    <col min="56" max="56" width="4" style="2" customWidth="1"/>
    <col min="57" max="60" width="4" style="2" bestFit="1" customWidth="1"/>
    <col min="61" max="61" width="4" style="2" customWidth="1"/>
    <col min="62" max="65" width="4" style="2" bestFit="1" customWidth="1"/>
    <col min="66" max="16384" width="4.85546875" style="2"/>
  </cols>
  <sheetData>
    <row r="1" spans="1:70" s="1" customFormat="1" x14ac:dyDescent="0.2">
      <c r="B1" s="18" t="s">
        <v>7</v>
      </c>
      <c r="C1" s="18"/>
      <c r="D1" s="18"/>
      <c r="E1" s="18"/>
      <c r="F1" s="15"/>
      <c r="G1" s="18" t="s">
        <v>8</v>
      </c>
      <c r="H1" s="18"/>
      <c r="I1" s="18"/>
      <c r="J1" s="18"/>
      <c r="K1" s="15"/>
      <c r="L1" s="18" t="s">
        <v>9</v>
      </c>
      <c r="M1" s="18"/>
      <c r="N1" s="18"/>
      <c r="O1" s="18"/>
      <c r="P1" s="15"/>
      <c r="Q1" s="18" t="s">
        <v>10</v>
      </c>
      <c r="R1" s="18"/>
      <c r="S1" s="18"/>
      <c r="T1" s="18"/>
      <c r="U1" s="15"/>
      <c r="V1" s="18" t="s">
        <v>11</v>
      </c>
      <c r="W1" s="18"/>
      <c r="X1" s="18"/>
      <c r="Y1" s="18"/>
      <c r="Z1" s="15"/>
      <c r="AA1" s="18" t="s">
        <v>12</v>
      </c>
      <c r="AB1" s="18"/>
      <c r="AC1" s="18"/>
      <c r="AD1" s="18"/>
      <c r="AE1" s="15"/>
      <c r="AF1" s="18" t="s">
        <v>13</v>
      </c>
      <c r="AG1" s="18"/>
      <c r="AH1" s="18"/>
      <c r="AI1" s="18"/>
      <c r="AJ1" s="15"/>
      <c r="AK1" s="18" t="s">
        <v>14</v>
      </c>
      <c r="AL1" s="18"/>
      <c r="AM1" s="18"/>
      <c r="AN1" s="18"/>
      <c r="AO1" s="15"/>
      <c r="AP1" s="18" t="s">
        <v>15</v>
      </c>
      <c r="AQ1" s="18"/>
      <c r="AR1" s="18"/>
      <c r="AS1" s="18"/>
      <c r="AT1" s="15"/>
      <c r="AU1" s="18" t="s">
        <v>16</v>
      </c>
      <c r="AV1" s="18"/>
      <c r="AW1" s="18"/>
      <c r="AX1" s="18"/>
      <c r="AY1" s="15"/>
      <c r="AZ1" s="18" t="s">
        <v>17</v>
      </c>
      <c r="BA1" s="18"/>
      <c r="BB1" s="18"/>
      <c r="BC1" s="18"/>
      <c r="BD1" s="15"/>
      <c r="BE1" s="18" t="s">
        <v>18</v>
      </c>
      <c r="BF1" s="18"/>
      <c r="BG1" s="18"/>
      <c r="BH1" s="18"/>
      <c r="BI1" s="15"/>
      <c r="BJ1" s="18" t="s">
        <v>19</v>
      </c>
      <c r="BK1" s="18"/>
      <c r="BL1" s="18"/>
      <c r="BM1" s="18"/>
    </row>
    <row r="2" spans="1:70" s="8" customFormat="1" x14ac:dyDescent="0.2">
      <c r="B2" s="8" t="s">
        <v>25</v>
      </c>
      <c r="C2" s="8" t="s">
        <v>26</v>
      </c>
      <c r="D2" s="8" t="s">
        <v>27</v>
      </c>
      <c r="E2" s="8" t="s">
        <v>28</v>
      </c>
      <c r="F2" s="15"/>
      <c r="G2" s="8" t="s">
        <v>25</v>
      </c>
      <c r="H2" s="8" t="s">
        <v>26</v>
      </c>
      <c r="I2" s="8" t="s">
        <v>27</v>
      </c>
      <c r="J2" s="8" t="s">
        <v>28</v>
      </c>
      <c r="K2" s="15"/>
      <c r="L2" s="8" t="s">
        <v>25</v>
      </c>
      <c r="M2" s="8" t="s">
        <v>26</v>
      </c>
      <c r="N2" s="8" t="s">
        <v>27</v>
      </c>
      <c r="O2" s="8" t="s">
        <v>28</v>
      </c>
      <c r="P2" s="15"/>
      <c r="Q2" s="8" t="s">
        <v>25</v>
      </c>
      <c r="R2" s="8" t="s">
        <v>26</v>
      </c>
      <c r="S2" s="8" t="s">
        <v>27</v>
      </c>
      <c r="T2" s="8" t="s">
        <v>28</v>
      </c>
      <c r="U2" s="15"/>
      <c r="V2" s="8" t="s">
        <v>25</v>
      </c>
      <c r="W2" s="8" t="s">
        <v>26</v>
      </c>
      <c r="X2" s="8" t="s">
        <v>27</v>
      </c>
      <c r="Y2" s="8" t="s">
        <v>28</v>
      </c>
      <c r="Z2" s="15"/>
      <c r="AA2" s="8" t="s">
        <v>25</v>
      </c>
      <c r="AB2" s="8" t="s">
        <v>26</v>
      </c>
      <c r="AC2" s="8" t="s">
        <v>27</v>
      </c>
      <c r="AD2" s="8" t="s">
        <v>28</v>
      </c>
      <c r="AE2" s="15"/>
      <c r="AF2" s="8" t="s">
        <v>25</v>
      </c>
      <c r="AG2" s="8" t="s">
        <v>26</v>
      </c>
      <c r="AH2" s="8" t="s">
        <v>27</v>
      </c>
      <c r="AI2" s="8" t="s">
        <v>28</v>
      </c>
      <c r="AJ2" s="15"/>
      <c r="AK2" s="8" t="s">
        <v>25</v>
      </c>
      <c r="AL2" s="8" t="s">
        <v>26</v>
      </c>
      <c r="AM2" s="8" t="s">
        <v>27</v>
      </c>
      <c r="AN2" s="8" t="s">
        <v>28</v>
      </c>
      <c r="AO2" s="15"/>
      <c r="AP2" s="8" t="s">
        <v>25</v>
      </c>
      <c r="AQ2" s="8" t="s">
        <v>26</v>
      </c>
      <c r="AR2" s="8" t="s">
        <v>27</v>
      </c>
      <c r="AS2" s="8" t="s">
        <v>28</v>
      </c>
      <c r="AT2" s="15"/>
      <c r="AU2" s="8" t="s">
        <v>25</v>
      </c>
      <c r="AV2" s="8" t="s">
        <v>26</v>
      </c>
      <c r="AW2" s="8" t="s">
        <v>27</v>
      </c>
      <c r="AX2" s="8" t="s">
        <v>28</v>
      </c>
      <c r="AY2" s="15"/>
      <c r="AZ2" s="8" t="s">
        <v>25</v>
      </c>
      <c r="BA2" s="8" t="s">
        <v>26</v>
      </c>
      <c r="BB2" s="8" t="s">
        <v>27</v>
      </c>
      <c r="BC2" s="8" t="s">
        <v>28</v>
      </c>
      <c r="BD2" s="15"/>
      <c r="BE2" s="8" t="s">
        <v>25</v>
      </c>
      <c r="BF2" s="8" t="s">
        <v>26</v>
      </c>
      <c r="BG2" s="8" t="s">
        <v>27</v>
      </c>
      <c r="BH2" s="8" t="s">
        <v>28</v>
      </c>
      <c r="BI2" s="15"/>
      <c r="BJ2" s="8" t="s">
        <v>25</v>
      </c>
      <c r="BK2" s="8" t="s">
        <v>26</v>
      </c>
      <c r="BL2" s="8" t="s">
        <v>27</v>
      </c>
      <c r="BM2" s="8" t="s">
        <v>28</v>
      </c>
    </row>
    <row r="3" spans="1:70" x14ac:dyDescent="0.2">
      <c r="A3" s="1" t="s">
        <v>0</v>
      </c>
      <c r="B3" s="14">
        <v>1</v>
      </c>
      <c r="C3" s="2">
        <v>14</v>
      </c>
      <c r="D3" s="2">
        <f>26+1</f>
        <v>27</v>
      </c>
      <c r="E3" s="2">
        <f>26+14</f>
        <v>40</v>
      </c>
      <c r="G3" s="14">
        <v>13</v>
      </c>
      <c r="H3" s="2">
        <v>26</v>
      </c>
      <c r="I3" s="2">
        <f>26+13</f>
        <v>39</v>
      </c>
      <c r="J3" s="2">
        <f>26+26</f>
        <v>52</v>
      </c>
      <c r="L3" s="14">
        <v>12</v>
      </c>
      <c r="M3" s="2">
        <v>25</v>
      </c>
      <c r="N3" s="2">
        <f>26+12</f>
        <v>38</v>
      </c>
      <c r="O3" s="2">
        <f>26+25</f>
        <v>51</v>
      </c>
      <c r="Q3" s="14">
        <v>11</v>
      </c>
      <c r="R3" s="2">
        <v>24</v>
      </c>
      <c r="S3" s="2">
        <f>26+11</f>
        <v>37</v>
      </c>
      <c r="T3" s="2">
        <f>26+24</f>
        <v>50</v>
      </c>
      <c r="V3" s="14">
        <v>10</v>
      </c>
      <c r="W3" s="2">
        <v>23</v>
      </c>
      <c r="X3" s="2">
        <f>26+10</f>
        <v>36</v>
      </c>
      <c r="Y3" s="2">
        <f>26+23</f>
        <v>49</v>
      </c>
      <c r="AA3" s="14">
        <v>9</v>
      </c>
      <c r="AB3" s="2">
        <v>22</v>
      </c>
      <c r="AC3" s="2">
        <f>26+9</f>
        <v>35</v>
      </c>
      <c r="AD3" s="2">
        <f>26+22</f>
        <v>48</v>
      </c>
      <c r="AF3" s="14">
        <v>8</v>
      </c>
      <c r="AG3" s="2">
        <v>21</v>
      </c>
      <c r="AH3" s="2">
        <f>26+8</f>
        <v>34</v>
      </c>
      <c r="AI3" s="2">
        <f>26+21</f>
        <v>47</v>
      </c>
      <c r="AK3" s="14">
        <v>7</v>
      </c>
      <c r="AL3" s="2">
        <v>20</v>
      </c>
      <c r="AM3" s="2">
        <f>26+7</f>
        <v>33</v>
      </c>
      <c r="AN3" s="2">
        <f>26+20</f>
        <v>46</v>
      </c>
      <c r="AP3" s="14">
        <v>6</v>
      </c>
      <c r="AQ3" s="2">
        <v>19</v>
      </c>
      <c r="AR3" s="2">
        <f>26+6</f>
        <v>32</v>
      </c>
      <c r="AS3" s="2">
        <f>26+19</f>
        <v>45</v>
      </c>
      <c r="AU3" s="14">
        <v>5</v>
      </c>
      <c r="AV3" s="2">
        <v>18</v>
      </c>
      <c r="AW3" s="2">
        <f>26+5</f>
        <v>31</v>
      </c>
      <c r="AX3" s="2">
        <f>26+18</f>
        <v>44</v>
      </c>
      <c r="AZ3" s="14">
        <v>4</v>
      </c>
      <c r="BA3" s="2">
        <v>17</v>
      </c>
      <c r="BB3" s="2">
        <f>26+4</f>
        <v>30</v>
      </c>
      <c r="BC3" s="2">
        <f>26+17</f>
        <v>43</v>
      </c>
      <c r="BE3" s="14">
        <v>3</v>
      </c>
      <c r="BF3" s="2">
        <v>16</v>
      </c>
      <c r="BG3" s="2">
        <f>26+3</f>
        <v>29</v>
      </c>
      <c r="BH3" s="2">
        <f>26+16</f>
        <v>42</v>
      </c>
      <c r="BJ3" s="14">
        <v>2</v>
      </c>
      <c r="BK3" s="2">
        <v>15</v>
      </c>
      <c r="BL3" s="2">
        <f>26+2</f>
        <v>28</v>
      </c>
      <c r="BM3" s="2">
        <f>26+15</f>
        <v>41</v>
      </c>
    </row>
    <row r="4" spans="1:70" x14ac:dyDescent="0.2">
      <c r="A4" s="1" t="s">
        <v>1</v>
      </c>
      <c r="B4" s="14">
        <f>26+11</f>
        <v>37</v>
      </c>
      <c r="C4" s="2">
        <f>26+23</f>
        <v>49</v>
      </c>
      <c r="D4" s="2">
        <v>13</v>
      </c>
      <c r="E4" s="2">
        <v>25</v>
      </c>
      <c r="G4" s="14">
        <f>26+10</f>
        <v>36</v>
      </c>
      <c r="H4" s="2">
        <f>26+22</f>
        <v>48</v>
      </c>
      <c r="I4" s="2">
        <v>12</v>
      </c>
      <c r="J4" s="2">
        <v>24</v>
      </c>
      <c r="L4" s="14">
        <f>26+9</f>
        <v>35</v>
      </c>
      <c r="M4" s="2">
        <f>26+21</f>
        <v>47</v>
      </c>
      <c r="N4" s="2">
        <v>11</v>
      </c>
      <c r="O4" s="2">
        <v>23</v>
      </c>
      <c r="Q4" s="14">
        <f>26+8</f>
        <v>34</v>
      </c>
      <c r="R4" s="2">
        <f>26+20</f>
        <v>46</v>
      </c>
      <c r="S4" s="2">
        <v>10</v>
      </c>
      <c r="T4" s="2">
        <v>22</v>
      </c>
      <c r="V4" s="14">
        <f>26+7</f>
        <v>33</v>
      </c>
      <c r="W4" s="2">
        <f>26+19</f>
        <v>45</v>
      </c>
      <c r="X4" s="2">
        <v>9</v>
      </c>
      <c r="Y4" s="2">
        <v>21</v>
      </c>
      <c r="AA4" s="14">
        <f>26+6</f>
        <v>32</v>
      </c>
      <c r="AB4" s="2">
        <f>26+18</f>
        <v>44</v>
      </c>
      <c r="AC4" s="2">
        <v>8</v>
      </c>
      <c r="AD4" s="2">
        <v>20</v>
      </c>
      <c r="AF4" s="14">
        <f>26+5</f>
        <v>31</v>
      </c>
      <c r="AG4" s="2">
        <f>26+17</f>
        <v>43</v>
      </c>
      <c r="AH4" s="2">
        <v>7</v>
      </c>
      <c r="AI4" s="2">
        <v>19</v>
      </c>
      <c r="AK4" s="14">
        <f>26+4</f>
        <v>30</v>
      </c>
      <c r="AL4" s="2">
        <f>26+16</f>
        <v>42</v>
      </c>
      <c r="AM4" s="2">
        <v>6</v>
      </c>
      <c r="AN4" s="2">
        <v>18</v>
      </c>
      <c r="AP4" s="14">
        <f>26+3</f>
        <v>29</v>
      </c>
      <c r="AQ4" s="2">
        <f>26+15</f>
        <v>41</v>
      </c>
      <c r="AR4" s="2">
        <v>5</v>
      </c>
      <c r="AS4" s="2">
        <v>17</v>
      </c>
      <c r="AU4" s="14">
        <f>26+2</f>
        <v>28</v>
      </c>
      <c r="AV4" s="2">
        <f>26+14</f>
        <v>40</v>
      </c>
      <c r="AW4" s="2">
        <v>4</v>
      </c>
      <c r="AX4" s="2">
        <v>16</v>
      </c>
      <c r="AZ4" s="14">
        <f>26+1</f>
        <v>27</v>
      </c>
      <c r="BA4" s="2">
        <f>26+26</f>
        <v>52</v>
      </c>
      <c r="BB4" s="2">
        <v>3</v>
      </c>
      <c r="BC4" s="2">
        <v>15</v>
      </c>
      <c r="BE4" s="14">
        <f>26+13</f>
        <v>39</v>
      </c>
      <c r="BF4" s="2">
        <f>26+25</f>
        <v>51</v>
      </c>
      <c r="BG4" s="2">
        <v>2</v>
      </c>
      <c r="BH4" s="2">
        <v>14</v>
      </c>
      <c r="BJ4" s="14">
        <f>26+12</f>
        <v>38</v>
      </c>
      <c r="BK4" s="2">
        <f>26+24</f>
        <v>50</v>
      </c>
      <c r="BL4" s="2">
        <v>1</v>
      </c>
      <c r="BM4" s="2">
        <v>26</v>
      </c>
    </row>
    <row r="5" spans="1:70" x14ac:dyDescent="0.2">
      <c r="A5" s="1" t="s">
        <v>2</v>
      </c>
      <c r="B5" s="14">
        <v>23</v>
      </c>
      <c r="C5" s="2">
        <f>26+8</f>
        <v>34</v>
      </c>
      <c r="D5" s="2">
        <f>26+19</f>
        <v>45</v>
      </c>
      <c r="E5" s="2">
        <v>12</v>
      </c>
      <c r="G5" s="14">
        <v>22</v>
      </c>
      <c r="H5" s="2">
        <f>26+7</f>
        <v>33</v>
      </c>
      <c r="I5" s="2">
        <f>26+18</f>
        <v>44</v>
      </c>
      <c r="J5" s="2">
        <v>11</v>
      </c>
      <c r="L5" s="14">
        <v>21</v>
      </c>
      <c r="M5" s="2">
        <f>26+6</f>
        <v>32</v>
      </c>
      <c r="N5" s="2">
        <f>26+17</f>
        <v>43</v>
      </c>
      <c r="O5" s="2">
        <v>10</v>
      </c>
      <c r="Q5" s="14">
        <v>20</v>
      </c>
      <c r="R5" s="2">
        <f>26+5</f>
        <v>31</v>
      </c>
      <c r="S5" s="2">
        <f>26+16</f>
        <v>42</v>
      </c>
      <c r="T5" s="2">
        <v>9</v>
      </c>
      <c r="V5" s="14">
        <v>19</v>
      </c>
      <c r="W5" s="2">
        <f>26+4</f>
        <v>30</v>
      </c>
      <c r="X5" s="2">
        <f>26+15</f>
        <v>41</v>
      </c>
      <c r="Y5" s="2">
        <v>8</v>
      </c>
      <c r="AA5" s="14">
        <v>18</v>
      </c>
      <c r="AB5" s="2">
        <f>26+3</f>
        <v>29</v>
      </c>
      <c r="AC5" s="2">
        <f>26+14</f>
        <v>40</v>
      </c>
      <c r="AD5" s="2">
        <v>7</v>
      </c>
      <c r="AF5" s="14">
        <v>17</v>
      </c>
      <c r="AG5" s="2">
        <f>26+2</f>
        <v>28</v>
      </c>
      <c r="AH5" s="2">
        <f>26+26</f>
        <v>52</v>
      </c>
      <c r="AI5" s="2">
        <v>6</v>
      </c>
      <c r="AK5" s="14">
        <v>16</v>
      </c>
      <c r="AL5" s="2">
        <f>26+1</f>
        <v>27</v>
      </c>
      <c r="AM5" s="2">
        <f>26+25</f>
        <v>51</v>
      </c>
      <c r="AN5" s="2">
        <v>5</v>
      </c>
      <c r="AP5" s="14">
        <v>15</v>
      </c>
      <c r="AQ5" s="2">
        <f>26+13</f>
        <v>39</v>
      </c>
      <c r="AR5" s="2">
        <f>26+24</f>
        <v>50</v>
      </c>
      <c r="AS5" s="2">
        <v>4</v>
      </c>
      <c r="AU5" s="14">
        <v>14</v>
      </c>
      <c r="AV5" s="2">
        <f>26+12</f>
        <v>38</v>
      </c>
      <c r="AW5" s="2">
        <f>26+23</f>
        <v>49</v>
      </c>
      <c r="AX5" s="2">
        <v>3</v>
      </c>
      <c r="AZ5" s="14">
        <v>26</v>
      </c>
      <c r="BA5" s="2">
        <f>26+11</f>
        <v>37</v>
      </c>
      <c r="BB5" s="2">
        <f>26+22</f>
        <v>48</v>
      </c>
      <c r="BC5" s="2">
        <v>2</v>
      </c>
      <c r="BE5" s="14">
        <v>25</v>
      </c>
      <c r="BF5" s="2">
        <f>26+10</f>
        <v>36</v>
      </c>
      <c r="BG5" s="2">
        <f>26+21</f>
        <v>47</v>
      </c>
      <c r="BH5" s="2">
        <v>1</v>
      </c>
      <c r="BJ5" s="14">
        <v>24</v>
      </c>
      <c r="BK5" s="2">
        <f>26+9</f>
        <v>35</v>
      </c>
      <c r="BL5" s="2">
        <f>26+20</f>
        <v>46</v>
      </c>
      <c r="BM5" s="2">
        <v>13</v>
      </c>
    </row>
    <row r="6" spans="1:70" x14ac:dyDescent="0.2">
      <c r="A6" s="1" t="s">
        <v>3</v>
      </c>
      <c r="B6" s="14">
        <f>26+15</f>
        <v>41</v>
      </c>
      <c r="C6" s="2">
        <v>11</v>
      </c>
      <c r="D6" s="2">
        <v>21</v>
      </c>
      <c r="E6" s="2">
        <f>26+5</f>
        <v>31</v>
      </c>
      <c r="G6" s="14">
        <f>26+14</f>
        <v>40</v>
      </c>
      <c r="H6" s="2">
        <v>10</v>
      </c>
      <c r="I6" s="2">
        <v>20</v>
      </c>
      <c r="J6" s="2">
        <f>26+4</f>
        <v>30</v>
      </c>
      <c r="L6" s="14">
        <f>26+26</f>
        <v>52</v>
      </c>
      <c r="M6" s="2">
        <v>9</v>
      </c>
      <c r="N6" s="2">
        <v>19</v>
      </c>
      <c r="O6" s="2">
        <f>26+3</f>
        <v>29</v>
      </c>
      <c r="Q6" s="14">
        <f>26+25</f>
        <v>51</v>
      </c>
      <c r="R6" s="2">
        <v>8</v>
      </c>
      <c r="S6" s="2">
        <v>18</v>
      </c>
      <c r="T6" s="2">
        <f>26+2</f>
        <v>28</v>
      </c>
      <c r="V6" s="14">
        <f>26+24</f>
        <v>50</v>
      </c>
      <c r="W6" s="2">
        <v>7</v>
      </c>
      <c r="X6" s="2">
        <v>17</v>
      </c>
      <c r="Y6" s="2">
        <f>26+1</f>
        <v>27</v>
      </c>
      <c r="AA6" s="14">
        <f>26+23</f>
        <v>49</v>
      </c>
      <c r="AB6" s="2">
        <v>6</v>
      </c>
      <c r="AC6" s="2">
        <v>16</v>
      </c>
      <c r="AD6" s="2">
        <f>26+13</f>
        <v>39</v>
      </c>
      <c r="AF6" s="14">
        <f>26+22</f>
        <v>48</v>
      </c>
      <c r="AG6" s="2">
        <v>5</v>
      </c>
      <c r="AH6" s="2">
        <v>15</v>
      </c>
      <c r="AI6" s="2">
        <f>26+12</f>
        <v>38</v>
      </c>
      <c r="AK6" s="14">
        <f>26+21</f>
        <v>47</v>
      </c>
      <c r="AL6" s="2">
        <v>4</v>
      </c>
      <c r="AM6" s="2">
        <v>14</v>
      </c>
      <c r="AN6" s="2">
        <f>26+11</f>
        <v>37</v>
      </c>
      <c r="AP6" s="14">
        <f>26+20</f>
        <v>46</v>
      </c>
      <c r="AQ6" s="2">
        <v>3</v>
      </c>
      <c r="AR6" s="2">
        <v>26</v>
      </c>
      <c r="AS6" s="2">
        <f>26+10</f>
        <v>36</v>
      </c>
      <c r="AU6" s="14">
        <f>26+19</f>
        <v>45</v>
      </c>
      <c r="AV6" s="2">
        <v>2</v>
      </c>
      <c r="AW6" s="2">
        <v>25</v>
      </c>
      <c r="AX6" s="2">
        <f>26+9</f>
        <v>35</v>
      </c>
      <c r="AZ6" s="14">
        <f>26+18</f>
        <v>44</v>
      </c>
      <c r="BA6" s="2">
        <v>1</v>
      </c>
      <c r="BB6" s="2">
        <v>24</v>
      </c>
      <c r="BC6" s="2">
        <f>26+8</f>
        <v>34</v>
      </c>
      <c r="BE6" s="14">
        <f>26+17</f>
        <v>43</v>
      </c>
      <c r="BF6" s="2">
        <v>13</v>
      </c>
      <c r="BG6" s="2">
        <v>23</v>
      </c>
      <c r="BH6" s="2">
        <f>26+7</f>
        <v>33</v>
      </c>
      <c r="BJ6" s="14">
        <f>26+16</f>
        <v>42</v>
      </c>
      <c r="BK6" s="2">
        <v>12</v>
      </c>
      <c r="BL6" s="2">
        <v>22</v>
      </c>
      <c r="BM6" s="2">
        <f>26+6</f>
        <v>32</v>
      </c>
    </row>
    <row r="7" spans="1:70" x14ac:dyDescent="0.2">
      <c r="A7" s="1" t="s">
        <v>4</v>
      </c>
      <c r="B7" s="14">
        <v>10</v>
      </c>
      <c r="C7" s="2">
        <v>19</v>
      </c>
      <c r="D7" s="2">
        <f>26+2</f>
        <v>28</v>
      </c>
      <c r="E7" s="2">
        <f>26+24</f>
        <v>50</v>
      </c>
      <c r="G7" s="14">
        <v>9</v>
      </c>
      <c r="H7" s="2">
        <v>18</v>
      </c>
      <c r="I7" s="2">
        <f>26+1</f>
        <v>27</v>
      </c>
      <c r="J7" s="2">
        <f>26+23</f>
        <v>49</v>
      </c>
      <c r="L7" s="14">
        <v>8</v>
      </c>
      <c r="M7" s="2">
        <v>17</v>
      </c>
      <c r="N7" s="2">
        <f>26+13</f>
        <v>39</v>
      </c>
      <c r="O7" s="2">
        <f>26+22</f>
        <v>48</v>
      </c>
      <c r="Q7" s="14">
        <v>7</v>
      </c>
      <c r="R7" s="2">
        <v>16</v>
      </c>
      <c r="S7" s="2">
        <f>26+12</f>
        <v>38</v>
      </c>
      <c r="T7" s="2">
        <f>26+21</f>
        <v>47</v>
      </c>
      <c r="V7" s="14">
        <v>6</v>
      </c>
      <c r="W7" s="2">
        <v>15</v>
      </c>
      <c r="X7" s="2">
        <f>26+11</f>
        <v>37</v>
      </c>
      <c r="Y7" s="2">
        <f>26+20</f>
        <v>46</v>
      </c>
      <c r="AA7" s="14">
        <v>5</v>
      </c>
      <c r="AB7" s="2">
        <v>14</v>
      </c>
      <c r="AC7" s="2">
        <f>26+10</f>
        <v>36</v>
      </c>
      <c r="AD7" s="2">
        <f>26+19</f>
        <v>45</v>
      </c>
      <c r="AF7" s="14">
        <v>4</v>
      </c>
      <c r="AG7" s="2">
        <v>26</v>
      </c>
      <c r="AH7" s="2">
        <f>26+9</f>
        <v>35</v>
      </c>
      <c r="AI7" s="2">
        <f>26+18</f>
        <v>44</v>
      </c>
      <c r="AK7" s="14">
        <v>3</v>
      </c>
      <c r="AL7" s="2">
        <v>25</v>
      </c>
      <c r="AM7" s="2">
        <f>26+8</f>
        <v>34</v>
      </c>
      <c r="AN7" s="2">
        <f>26+17</f>
        <v>43</v>
      </c>
      <c r="AP7" s="14">
        <v>2</v>
      </c>
      <c r="AQ7" s="2">
        <v>24</v>
      </c>
      <c r="AR7" s="2">
        <f>26+7</f>
        <v>33</v>
      </c>
      <c r="AS7" s="2">
        <f>26+16</f>
        <v>42</v>
      </c>
      <c r="AU7" s="14">
        <v>1</v>
      </c>
      <c r="AV7" s="2">
        <v>23</v>
      </c>
      <c r="AW7" s="2">
        <f>26+6</f>
        <v>32</v>
      </c>
      <c r="AX7" s="2">
        <f>26+15</f>
        <v>41</v>
      </c>
      <c r="AZ7" s="14">
        <v>13</v>
      </c>
      <c r="BA7" s="2">
        <v>22</v>
      </c>
      <c r="BB7" s="2">
        <f>26+5</f>
        <v>31</v>
      </c>
      <c r="BC7" s="2">
        <f>26+14</f>
        <v>40</v>
      </c>
      <c r="BE7" s="14">
        <v>12</v>
      </c>
      <c r="BF7" s="2">
        <v>21</v>
      </c>
      <c r="BG7" s="2">
        <f>26+4</f>
        <v>30</v>
      </c>
      <c r="BH7" s="2">
        <f>26+26</f>
        <v>52</v>
      </c>
      <c r="BJ7" s="14">
        <v>11</v>
      </c>
      <c r="BK7" s="2">
        <v>20</v>
      </c>
      <c r="BL7" s="2">
        <f>26+3</f>
        <v>29</v>
      </c>
      <c r="BM7" s="2">
        <f>26+25</f>
        <v>51</v>
      </c>
    </row>
    <row r="8" spans="1:70" x14ac:dyDescent="0.2">
      <c r="A8" s="1" t="s">
        <v>5</v>
      </c>
      <c r="B8" s="14">
        <f>26+12</f>
        <v>38</v>
      </c>
      <c r="C8" s="2">
        <f>26+20</f>
        <v>46</v>
      </c>
      <c r="D8" s="2">
        <v>9</v>
      </c>
      <c r="E8" s="2">
        <v>17</v>
      </c>
      <c r="G8" s="14">
        <f>26+11</f>
        <v>37</v>
      </c>
      <c r="H8" s="2">
        <f>26+19</f>
        <v>45</v>
      </c>
      <c r="I8" s="2">
        <v>8</v>
      </c>
      <c r="J8" s="2">
        <v>16</v>
      </c>
      <c r="L8" s="14">
        <f>26+10</f>
        <v>36</v>
      </c>
      <c r="M8" s="2">
        <f>26+18</f>
        <v>44</v>
      </c>
      <c r="N8" s="2">
        <v>7</v>
      </c>
      <c r="O8" s="2">
        <v>15</v>
      </c>
      <c r="Q8" s="14">
        <f>26+9</f>
        <v>35</v>
      </c>
      <c r="R8" s="2">
        <f>26+17</f>
        <v>43</v>
      </c>
      <c r="S8" s="2">
        <v>6</v>
      </c>
      <c r="T8" s="2">
        <v>14</v>
      </c>
      <c r="V8" s="14">
        <f>26+8</f>
        <v>34</v>
      </c>
      <c r="W8" s="2">
        <f>26+16</f>
        <v>42</v>
      </c>
      <c r="X8" s="2">
        <v>5</v>
      </c>
      <c r="Y8" s="2">
        <v>26</v>
      </c>
      <c r="AA8" s="14">
        <f>26+7</f>
        <v>33</v>
      </c>
      <c r="AB8" s="2">
        <f>26+15</f>
        <v>41</v>
      </c>
      <c r="AC8" s="2">
        <v>4</v>
      </c>
      <c r="AD8" s="2">
        <v>25</v>
      </c>
      <c r="AF8" s="14">
        <f>26+6</f>
        <v>32</v>
      </c>
      <c r="AG8" s="2">
        <f>26+14</f>
        <v>40</v>
      </c>
      <c r="AH8" s="2">
        <v>3</v>
      </c>
      <c r="AI8" s="2">
        <v>24</v>
      </c>
      <c r="AK8" s="14">
        <f>26+5</f>
        <v>31</v>
      </c>
      <c r="AL8" s="2">
        <f>26+26</f>
        <v>52</v>
      </c>
      <c r="AM8" s="2">
        <v>2</v>
      </c>
      <c r="AN8" s="2">
        <v>23</v>
      </c>
      <c r="AP8" s="14">
        <f>26+4</f>
        <v>30</v>
      </c>
      <c r="AQ8" s="2">
        <f>26+25</f>
        <v>51</v>
      </c>
      <c r="AR8" s="2">
        <v>1</v>
      </c>
      <c r="AS8" s="2">
        <v>22</v>
      </c>
      <c r="AU8" s="14">
        <f>26+3</f>
        <v>29</v>
      </c>
      <c r="AV8" s="2">
        <f>26+24</f>
        <v>50</v>
      </c>
      <c r="AW8" s="2">
        <v>13</v>
      </c>
      <c r="AX8" s="2">
        <v>21</v>
      </c>
      <c r="AZ8" s="14">
        <f>26+2</f>
        <v>28</v>
      </c>
      <c r="BA8" s="2">
        <f>26+23</f>
        <v>49</v>
      </c>
      <c r="BB8" s="2">
        <v>12</v>
      </c>
      <c r="BC8" s="2">
        <v>20</v>
      </c>
      <c r="BE8" s="14">
        <f>26+1</f>
        <v>27</v>
      </c>
      <c r="BF8" s="2">
        <f>26+22</f>
        <v>48</v>
      </c>
      <c r="BG8" s="2">
        <v>11</v>
      </c>
      <c r="BH8" s="2">
        <v>19</v>
      </c>
      <c r="BJ8" s="14">
        <f>26+13</f>
        <v>39</v>
      </c>
      <c r="BK8" s="2">
        <f>26+21</f>
        <v>47</v>
      </c>
      <c r="BL8" s="2">
        <v>10</v>
      </c>
      <c r="BM8" s="2">
        <v>18</v>
      </c>
    </row>
    <row r="9" spans="1:70" x14ac:dyDescent="0.2">
      <c r="A9" s="1" t="s">
        <v>6</v>
      </c>
      <c r="B9" s="14">
        <v>15</v>
      </c>
      <c r="C9" s="2">
        <f>26+9</f>
        <v>35</v>
      </c>
      <c r="D9" s="2">
        <f>26+16</f>
        <v>42</v>
      </c>
      <c r="E9" s="2">
        <v>8</v>
      </c>
      <c r="G9" s="14">
        <v>14</v>
      </c>
      <c r="H9" s="2">
        <f>26+8</f>
        <v>34</v>
      </c>
      <c r="I9" s="2">
        <f>26+15</f>
        <v>41</v>
      </c>
      <c r="J9" s="2">
        <v>7</v>
      </c>
      <c r="L9" s="14">
        <v>26</v>
      </c>
      <c r="M9" s="2">
        <f>26+7</f>
        <v>33</v>
      </c>
      <c r="N9" s="2">
        <f>26+14</f>
        <v>40</v>
      </c>
      <c r="O9" s="2">
        <v>6</v>
      </c>
      <c r="Q9" s="14">
        <v>25</v>
      </c>
      <c r="R9" s="2">
        <f>26+6</f>
        <v>32</v>
      </c>
      <c r="S9" s="2">
        <f>26+26</f>
        <v>52</v>
      </c>
      <c r="T9" s="2">
        <v>5</v>
      </c>
      <c r="V9" s="14">
        <v>24</v>
      </c>
      <c r="W9" s="2">
        <f>26+5</f>
        <v>31</v>
      </c>
      <c r="X9" s="2">
        <f>26+25</f>
        <v>51</v>
      </c>
      <c r="Y9" s="2">
        <v>4</v>
      </c>
      <c r="AA9" s="14">
        <v>23</v>
      </c>
      <c r="AB9" s="2">
        <f>26+4</f>
        <v>30</v>
      </c>
      <c r="AC9" s="2">
        <f>26+24</f>
        <v>50</v>
      </c>
      <c r="AD9" s="2">
        <v>3</v>
      </c>
      <c r="AF9" s="14">
        <v>22</v>
      </c>
      <c r="AG9" s="2">
        <f>26+3</f>
        <v>29</v>
      </c>
      <c r="AH9" s="2">
        <f>26+23</f>
        <v>49</v>
      </c>
      <c r="AI9" s="2">
        <v>2</v>
      </c>
      <c r="AK9" s="14">
        <v>21</v>
      </c>
      <c r="AL9" s="2">
        <f>26+2</f>
        <v>28</v>
      </c>
      <c r="AM9" s="2">
        <f>26+22</f>
        <v>48</v>
      </c>
      <c r="AN9" s="2">
        <v>1</v>
      </c>
      <c r="AP9" s="14">
        <v>20</v>
      </c>
      <c r="AQ9" s="2">
        <f>26+1</f>
        <v>27</v>
      </c>
      <c r="AR9" s="2">
        <f>26+21</f>
        <v>47</v>
      </c>
      <c r="AS9" s="2">
        <v>13</v>
      </c>
      <c r="AU9" s="14">
        <v>19</v>
      </c>
      <c r="AV9" s="2">
        <f>26+13</f>
        <v>39</v>
      </c>
      <c r="AW9" s="2">
        <f>26+20</f>
        <v>46</v>
      </c>
      <c r="AX9" s="2">
        <v>12</v>
      </c>
      <c r="AZ9" s="14">
        <v>18</v>
      </c>
      <c r="BA9" s="2">
        <f>26+12</f>
        <v>38</v>
      </c>
      <c r="BB9" s="2">
        <f>26+19</f>
        <v>45</v>
      </c>
      <c r="BC9" s="2">
        <v>11</v>
      </c>
      <c r="BE9" s="14">
        <v>17</v>
      </c>
      <c r="BF9" s="2">
        <f>26+11</f>
        <v>37</v>
      </c>
      <c r="BG9" s="2">
        <f>26+18</f>
        <v>44</v>
      </c>
      <c r="BH9" s="2">
        <v>10</v>
      </c>
      <c r="BJ9" s="14">
        <v>16</v>
      </c>
      <c r="BK9" s="2">
        <f>26+10</f>
        <v>36</v>
      </c>
      <c r="BL9" s="2">
        <f>26+17</f>
        <v>43</v>
      </c>
      <c r="BM9" s="2">
        <v>9</v>
      </c>
    </row>
    <row r="10" spans="1:70" x14ac:dyDescent="0.2">
      <c r="A10" s="1"/>
    </row>
    <row r="11" spans="1:70" x14ac:dyDescent="0.2">
      <c r="A11" s="1"/>
    </row>
    <row r="12" spans="1:70" x14ac:dyDescent="0.2">
      <c r="A12" s="1"/>
      <c r="BO12" s="8"/>
      <c r="BP12" s="8"/>
      <c r="BQ12" s="8"/>
      <c r="BR12" s="8"/>
    </row>
    <row r="13" spans="1:70" ht="15" x14ac:dyDescent="0.25">
      <c r="A13" s="1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</row>
    <row r="14" spans="1:70" ht="15" x14ac:dyDescent="0.25">
      <c r="A14" s="1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</row>
    <row r="15" spans="1:70" ht="15" x14ac:dyDescent="0.25">
      <c r="A15" s="1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</row>
    <row r="16" spans="1:70" ht="15" x14ac:dyDescent="0.25">
      <c r="A16" s="1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</row>
    <row r="17" spans="1:70" ht="15" x14ac:dyDescent="0.25">
      <c r="A17" s="1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</row>
    <row r="18" spans="1:70" ht="15" x14ac:dyDescent="0.25">
      <c r="A18" s="1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</row>
    <row r="19" spans="1:70" ht="15" x14ac:dyDescent="0.25">
      <c r="A19" s="1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</row>
    <row r="20" spans="1:70" ht="15" x14ac:dyDescent="0.25">
      <c r="A20" s="1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</row>
    <row r="21" spans="1:70" ht="15" x14ac:dyDescent="0.25">
      <c r="A21" s="1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</row>
    <row r="22" spans="1:70" ht="15" x14ac:dyDescent="0.25">
      <c r="A22" s="1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</row>
    <row r="23" spans="1:70" ht="15" x14ac:dyDescent="0.25">
      <c r="A23" s="1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</row>
    <row r="24" spans="1:70" ht="15" x14ac:dyDescent="0.25">
      <c r="A24" s="1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</row>
    <row r="25" spans="1:70" ht="15" x14ac:dyDescent="0.25">
      <c r="A25" s="1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</row>
    <row r="26" spans="1:70" ht="15" x14ac:dyDescent="0.25">
      <c r="A26" s="1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</row>
    <row r="27" spans="1:70" ht="15" x14ac:dyDescent="0.25">
      <c r="A27" s="1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</row>
    <row r="28" spans="1:70" ht="15" x14ac:dyDescent="0.25">
      <c r="A28" s="1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</row>
    <row r="29" spans="1:70" ht="15" x14ac:dyDescent="0.25">
      <c r="A29" s="1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</row>
    <row r="30" spans="1:70" ht="15" x14ac:dyDescent="0.25">
      <c r="A30" s="1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</row>
    <row r="31" spans="1:70" ht="15" x14ac:dyDescent="0.25">
      <c r="A31" s="1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</row>
    <row r="32" spans="1:70" ht="15" x14ac:dyDescent="0.25">
      <c r="A32" s="1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</row>
    <row r="33" spans="1:70" ht="15" x14ac:dyDescent="0.25">
      <c r="A33" s="1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</row>
    <row r="34" spans="1:70" ht="15" x14ac:dyDescent="0.25">
      <c r="A34" s="1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</row>
    <row r="35" spans="1:70" ht="15" x14ac:dyDescent="0.25">
      <c r="A35" s="1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</row>
    <row r="36" spans="1:70" ht="15" x14ac:dyDescent="0.25">
      <c r="A36" s="1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</row>
    <row r="37" spans="1:70" ht="15" x14ac:dyDescent="0.25">
      <c r="A37" s="1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</row>
    <row r="38" spans="1:70" ht="15" x14ac:dyDescent="0.25">
      <c r="A38" s="1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</row>
    <row r="39" spans="1:70" ht="15" x14ac:dyDescent="0.25">
      <c r="A39" s="1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</row>
    <row r="40" spans="1:70" ht="15" x14ac:dyDescent="0.25">
      <c r="A40" s="1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</row>
    <row r="41" spans="1:70" ht="15" x14ac:dyDescent="0.25">
      <c r="A41" s="1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</row>
    <row r="42" spans="1:70" ht="15" x14ac:dyDescent="0.25">
      <c r="A42" s="1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</row>
    <row r="43" spans="1:70" ht="15" x14ac:dyDescent="0.25">
      <c r="A43" s="1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</row>
    <row r="44" spans="1:70" ht="15" x14ac:dyDescent="0.25">
      <c r="A44" s="1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</row>
    <row r="45" spans="1:70" ht="15" x14ac:dyDescent="0.25">
      <c r="A45" s="1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</row>
    <row r="46" spans="1:70" ht="15" x14ac:dyDescent="0.25">
      <c r="A46" s="1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</row>
    <row r="47" spans="1:70" ht="15" x14ac:dyDescent="0.25">
      <c r="A47" s="1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</row>
    <row r="48" spans="1:70" ht="15" x14ac:dyDescent="0.25">
      <c r="A48" s="1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</row>
    <row r="49" spans="1:70" ht="15" x14ac:dyDescent="0.25">
      <c r="A49" s="1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</row>
    <row r="50" spans="1:70" ht="15" x14ac:dyDescent="0.25">
      <c r="A50" s="1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</row>
    <row r="51" spans="1:70" ht="15" x14ac:dyDescent="0.25">
      <c r="A51" s="1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</row>
    <row r="52" spans="1:70" ht="15" x14ac:dyDescent="0.25">
      <c r="A52" s="1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</row>
    <row r="53" spans="1:70" ht="15" x14ac:dyDescent="0.25">
      <c r="A53" s="1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</row>
    <row r="54" spans="1:70" ht="15" x14ac:dyDescent="0.25">
      <c r="A54" s="1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</row>
    <row r="55" spans="1:70" ht="15" x14ac:dyDescent="0.25">
      <c r="A55" s="1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</row>
    <row r="56" spans="1:70" ht="15" x14ac:dyDescent="0.25">
      <c r="A56" s="1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</row>
    <row r="57" spans="1:70" ht="15" x14ac:dyDescent="0.25">
      <c r="A57" s="1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</row>
    <row r="58" spans="1:70" ht="15" x14ac:dyDescent="0.25">
      <c r="A58" s="1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</row>
    <row r="59" spans="1:70" ht="15" x14ac:dyDescent="0.25">
      <c r="A59" s="1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</row>
    <row r="60" spans="1:70" ht="15" x14ac:dyDescent="0.25">
      <c r="A60" s="1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</row>
    <row r="61" spans="1:70" ht="15" x14ac:dyDescent="0.25">
      <c r="A61" s="1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</row>
    <row r="62" spans="1:70" ht="15" x14ac:dyDescent="0.25">
      <c r="A62" s="1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</row>
    <row r="63" spans="1:70" ht="15" x14ac:dyDescent="0.25">
      <c r="A63" s="1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</row>
    <row r="64" spans="1:70" ht="15" x14ac:dyDescent="0.25">
      <c r="A64" s="1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</row>
  </sheetData>
  <mergeCells count="13">
    <mergeCell ref="AA1:AD1"/>
    <mergeCell ref="BJ1:BM1"/>
    <mergeCell ref="AF1:AI1"/>
    <mergeCell ref="AK1:AN1"/>
    <mergeCell ref="AP1:AS1"/>
    <mergeCell ref="AU1:AX1"/>
    <mergeCell ref="AZ1:BC1"/>
    <mergeCell ref="BE1:BH1"/>
    <mergeCell ref="B1:E1"/>
    <mergeCell ref="G1:J1"/>
    <mergeCell ref="L1:O1"/>
    <mergeCell ref="Q1:T1"/>
    <mergeCell ref="V1:Y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BW68"/>
  <sheetViews>
    <sheetView zoomScale="80" zoomScaleNormal="80" workbookViewId="0"/>
  </sheetViews>
  <sheetFormatPr defaultColWidth="4" defaultRowHeight="12.75" x14ac:dyDescent="0.2"/>
  <cols>
    <col min="1" max="1" width="9.140625" style="2" customWidth="1"/>
    <col min="2" max="71" width="4" style="2"/>
    <col min="72" max="73" width="5.7109375" style="2" bestFit="1" customWidth="1"/>
    <col min="74" max="16384" width="4" style="2"/>
  </cols>
  <sheetData>
    <row r="1" spans="1:75" s="1" customFormat="1" x14ac:dyDescent="0.2">
      <c r="B1" s="18" t="s">
        <v>7</v>
      </c>
      <c r="C1" s="18"/>
      <c r="D1" s="18"/>
      <c r="E1" s="18"/>
      <c r="F1" s="15"/>
      <c r="G1" s="18" t="s">
        <v>8</v>
      </c>
      <c r="H1" s="18"/>
      <c r="I1" s="18"/>
      <c r="J1" s="18"/>
      <c r="K1" s="15"/>
      <c r="L1" s="18" t="s">
        <v>9</v>
      </c>
      <c r="M1" s="18"/>
      <c r="N1" s="18"/>
      <c r="O1" s="18"/>
      <c r="P1" s="15"/>
      <c r="Q1" s="18" t="s">
        <v>10</v>
      </c>
      <c r="R1" s="18"/>
      <c r="S1" s="18"/>
      <c r="T1" s="18"/>
      <c r="U1" s="15"/>
      <c r="V1" s="18" t="s">
        <v>11</v>
      </c>
      <c r="W1" s="18"/>
      <c r="X1" s="18"/>
      <c r="Y1" s="18"/>
      <c r="Z1" s="15"/>
      <c r="AA1" s="18" t="s">
        <v>12</v>
      </c>
      <c r="AB1" s="18"/>
      <c r="AC1" s="18"/>
      <c r="AD1" s="18"/>
      <c r="AE1" s="15"/>
      <c r="AF1" s="18" t="s">
        <v>13</v>
      </c>
      <c r="AG1" s="18"/>
      <c r="AH1" s="18"/>
      <c r="AI1" s="18"/>
      <c r="AJ1" s="15"/>
      <c r="AK1" s="18" t="s">
        <v>14</v>
      </c>
      <c r="AL1" s="18"/>
      <c r="AM1" s="18"/>
      <c r="AN1" s="18"/>
      <c r="AO1" s="15"/>
      <c r="AP1" s="18" t="s">
        <v>15</v>
      </c>
      <c r="AQ1" s="18"/>
      <c r="AR1" s="18"/>
      <c r="AS1" s="18"/>
      <c r="AT1" s="15"/>
      <c r="AU1" s="18" t="s">
        <v>16</v>
      </c>
      <c r="AV1" s="18"/>
      <c r="AW1" s="18"/>
      <c r="AX1" s="18"/>
      <c r="AY1" s="15"/>
      <c r="AZ1" s="18" t="s">
        <v>17</v>
      </c>
      <c r="BA1" s="18"/>
      <c r="BB1" s="18"/>
      <c r="BC1" s="18"/>
      <c r="BD1" s="15"/>
      <c r="BE1" s="18" t="s">
        <v>18</v>
      </c>
      <c r="BF1" s="18"/>
      <c r="BG1" s="18"/>
      <c r="BH1" s="18"/>
      <c r="BI1" s="15"/>
      <c r="BJ1" s="18" t="s">
        <v>19</v>
      </c>
      <c r="BK1" s="18"/>
      <c r="BL1" s="18"/>
      <c r="BM1" s="18"/>
      <c r="BN1" s="15"/>
      <c r="BO1" s="18" t="s">
        <v>20</v>
      </c>
      <c r="BP1" s="18"/>
      <c r="BQ1" s="18"/>
      <c r="BR1" s="18"/>
    </row>
    <row r="2" spans="1:75" s="8" customFormat="1" x14ac:dyDescent="0.2">
      <c r="B2" s="8" t="s">
        <v>25</v>
      </c>
      <c r="C2" s="8" t="s">
        <v>26</v>
      </c>
      <c r="D2" s="8" t="s">
        <v>27</v>
      </c>
      <c r="E2" s="8" t="s">
        <v>28</v>
      </c>
      <c r="F2" s="15"/>
      <c r="G2" s="8" t="s">
        <v>25</v>
      </c>
      <c r="H2" s="8" t="s">
        <v>26</v>
      </c>
      <c r="I2" s="8" t="s">
        <v>27</v>
      </c>
      <c r="J2" s="8" t="s">
        <v>28</v>
      </c>
      <c r="K2" s="15"/>
      <c r="L2" s="8" t="s">
        <v>25</v>
      </c>
      <c r="M2" s="8" t="s">
        <v>26</v>
      </c>
      <c r="N2" s="8" t="s">
        <v>27</v>
      </c>
      <c r="O2" s="8" t="s">
        <v>28</v>
      </c>
      <c r="P2" s="15"/>
      <c r="Q2" s="8" t="s">
        <v>25</v>
      </c>
      <c r="R2" s="8" t="s">
        <v>26</v>
      </c>
      <c r="S2" s="8" t="s">
        <v>27</v>
      </c>
      <c r="T2" s="8" t="s">
        <v>28</v>
      </c>
      <c r="U2" s="15"/>
      <c r="V2" s="8" t="s">
        <v>25</v>
      </c>
      <c r="W2" s="8" t="s">
        <v>26</v>
      </c>
      <c r="X2" s="8" t="s">
        <v>27</v>
      </c>
      <c r="Y2" s="8" t="s">
        <v>28</v>
      </c>
      <c r="Z2" s="15"/>
      <c r="AA2" s="8" t="s">
        <v>25</v>
      </c>
      <c r="AB2" s="8" t="s">
        <v>26</v>
      </c>
      <c r="AC2" s="8" t="s">
        <v>27</v>
      </c>
      <c r="AD2" s="8" t="s">
        <v>28</v>
      </c>
      <c r="AE2" s="15"/>
      <c r="AF2" s="8" t="s">
        <v>25</v>
      </c>
      <c r="AG2" s="8" t="s">
        <v>26</v>
      </c>
      <c r="AH2" s="8" t="s">
        <v>27</v>
      </c>
      <c r="AI2" s="8" t="s">
        <v>28</v>
      </c>
      <c r="AJ2" s="15"/>
      <c r="AK2" s="8" t="s">
        <v>25</v>
      </c>
      <c r="AL2" s="8" t="s">
        <v>26</v>
      </c>
      <c r="AM2" s="8" t="s">
        <v>27</v>
      </c>
      <c r="AN2" s="8" t="s">
        <v>28</v>
      </c>
      <c r="AO2" s="15"/>
      <c r="AP2" s="8" t="s">
        <v>25</v>
      </c>
      <c r="AQ2" s="8" t="s">
        <v>26</v>
      </c>
      <c r="AR2" s="8" t="s">
        <v>27</v>
      </c>
      <c r="AS2" s="8" t="s">
        <v>28</v>
      </c>
      <c r="AT2" s="15"/>
      <c r="AU2" s="8" t="s">
        <v>25</v>
      </c>
      <c r="AV2" s="8" t="s">
        <v>26</v>
      </c>
      <c r="AW2" s="8" t="s">
        <v>27</v>
      </c>
      <c r="AX2" s="8" t="s">
        <v>28</v>
      </c>
      <c r="AY2" s="15"/>
      <c r="AZ2" s="8" t="s">
        <v>25</v>
      </c>
      <c r="BA2" s="8" t="s">
        <v>26</v>
      </c>
      <c r="BB2" s="8" t="s">
        <v>27</v>
      </c>
      <c r="BC2" s="8" t="s">
        <v>28</v>
      </c>
      <c r="BD2" s="15"/>
      <c r="BE2" s="8" t="s">
        <v>25</v>
      </c>
      <c r="BF2" s="8" t="s">
        <v>26</v>
      </c>
      <c r="BG2" s="8" t="s">
        <v>27</v>
      </c>
      <c r="BH2" s="8" t="s">
        <v>28</v>
      </c>
      <c r="BI2" s="15"/>
      <c r="BJ2" s="8" t="s">
        <v>25</v>
      </c>
      <c r="BK2" s="8" t="s">
        <v>26</v>
      </c>
      <c r="BL2" s="8" t="s">
        <v>27</v>
      </c>
      <c r="BM2" s="8" t="s">
        <v>28</v>
      </c>
      <c r="BN2" s="15"/>
      <c r="BO2" s="8" t="s">
        <v>25</v>
      </c>
      <c r="BP2" s="8" t="s">
        <v>26</v>
      </c>
      <c r="BQ2" s="8" t="s">
        <v>27</v>
      </c>
      <c r="BR2" s="8" t="s">
        <v>28</v>
      </c>
    </row>
    <row r="3" spans="1:75" x14ac:dyDescent="0.2">
      <c r="A3" s="1" t="s">
        <v>0</v>
      </c>
      <c r="B3" s="14">
        <v>1</v>
      </c>
      <c r="C3" s="2">
        <v>15</v>
      </c>
      <c r="D3" s="2">
        <f>28+1</f>
        <v>29</v>
      </c>
      <c r="E3" s="2">
        <f>28+15</f>
        <v>43</v>
      </c>
      <c r="G3" s="14">
        <v>2</v>
      </c>
      <c r="H3" s="2">
        <v>16</v>
      </c>
      <c r="I3" s="2">
        <f>28+5</f>
        <v>33</v>
      </c>
      <c r="J3" s="2">
        <f>28+25</f>
        <v>53</v>
      </c>
      <c r="L3" s="14">
        <v>4</v>
      </c>
      <c r="M3" s="2">
        <v>21</v>
      </c>
      <c r="N3" s="2">
        <f>28+2</f>
        <v>30</v>
      </c>
      <c r="O3" s="2">
        <f>28+23</f>
        <v>51</v>
      </c>
      <c r="Q3" s="14">
        <v>3</v>
      </c>
      <c r="R3" s="2">
        <v>19</v>
      </c>
      <c r="S3" s="2">
        <f>28+6</f>
        <v>34</v>
      </c>
      <c r="T3" s="2">
        <f>28+16</f>
        <v>44</v>
      </c>
      <c r="V3" s="14">
        <v>8</v>
      </c>
      <c r="W3" s="2">
        <v>26</v>
      </c>
      <c r="X3" s="2">
        <f>28+14</f>
        <v>42</v>
      </c>
      <c r="Y3" s="2">
        <f>28+28</f>
        <v>56</v>
      </c>
      <c r="AA3" s="14">
        <v>11</v>
      </c>
      <c r="AB3" s="2">
        <v>17</v>
      </c>
      <c r="AC3" s="2">
        <f>28+10</f>
        <v>38</v>
      </c>
      <c r="AD3" s="2">
        <f>28+27</f>
        <v>55</v>
      </c>
      <c r="AF3" s="14">
        <v>12</v>
      </c>
      <c r="AG3" s="2">
        <v>23</v>
      </c>
      <c r="AH3" s="2">
        <f>28+8</f>
        <v>36</v>
      </c>
      <c r="AI3" s="2">
        <f>28+24</f>
        <v>52</v>
      </c>
      <c r="AK3" s="14">
        <v>5</v>
      </c>
      <c r="AL3" s="2">
        <v>27</v>
      </c>
      <c r="AM3" s="2">
        <f>28+3</f>
        <v>31</v>
      </c>
      <c r="AN3" s="2">
        <f>28+26</f>
        <v>54</v>
      </c>
      <c r="AP3" s="14">
        <v>13</v>
      </c>
      <c r="AQ3" s="2">
        <v>24</v>
      </c>
      <c r="AR3" s="2">
        <f>28+7</f>
        <v>35</v>
      </c>
      <c r="AS3" s="2">
        <f>28+22</f>
        <v>50</v>
      </c>
      <c r="AU3" s="14">
        <v>14</v>
      </c>
      <c r="AV3" s="2">
        <v>20</v>
      </c>
      <c r="AW3" s="2">
        <f>28+11</f>
        <v>39</v>
      </c>
      <c r="AX3" s="2">
        <f>28+21</f>
        <v>49</v>
      </c>
      <c r="AZ3" s="14">
        <v>9</v>
      </c>
      <c r="BA3" s="2">
        <v>22</v>
      </c>
      <c r="BB3" s="2">
        <f>28+4</f>
        <v>32</v>
      </c>
      <c r="BC3" s="2">
        <f>28+19</f>
        <v>47</v>
      </c>
      <c r="BE3" s="14">
        <v>7</v>
      </c>
      <c r="BF3" s="2">
        <v>28</v>
      </c>
      <c r="BG3" s="2">
        <f>28+12</f>
        <v>40</v>
      </c>
      <c r="BH3" s="2">
        <f>28+18</f>
        <v>46</v>
      </c>
      <c r="BJ3" s="14">
        <v>10</v>
      </c>
      <c r="BK3" s="2">
        <v>25</v>
      </c>
      <c r="BL3" s="2">
        <f>28+9</f>
        <v>37</v>
      </c>
      <c r="BM3" s="2">
        <f>28+20</f>
        <v>48</v>
      </c>
      <c r="BO3" s="14">
        <v>6</v>
      </c>
      <c r="BP3" s="2">
        <v>18</v>
      </c>
      <c r="BQ3" s="2">
        <f>28+13</f>
        <v>41</v>
      </c>
      <c r="BR3" s="2">
        <f>28+17</f>
        <v>45</v>
      </c>
    </row>
    <row r="4" spans="1:75" x14ac:dyDescent="0.2">
      <c r="A4" s="1" t="s">
        <v>1</v>
      </c>
      <c r="B4" s="14">
        <f>28+7</f>
        <v>35</v>
      </c>
      <c r="C4" s="2">
        <f>28+20</f>
        <v>48</v>
      </c>
      <c r="D4" s="2">
        <v>3</v>
      </c>
      <c r="E4" s="2">
        <v>20</v>
      </c>
      <c r="G4" s="14">
        <f>28+14</f>
        <v>42</v>
      </c>
      <c r="H4" s="2">
        <f>28+26</f>
        <v>54</v>
      </c>
      <c r="I4" s="2">
        <v>10</v>
      </c>
      <c r="J4" s="2">
        <v>23</v>
      </c>
      <c r="L4" s="14">
        <f>28+5</f>
        <v>33</v>
      </c>
      <c r="M4" s="2">
        <f>28+21</f>
        <v>49</v>
      </c>
      <c r="N4" s="2">
        <v>9</v>
      </c>
      <c r="O4" s="2">
        <v>27</v>
      </c>
      <c r="Q4" s="14">
        <f>28+12</f>
        <v>40</v>
      </c>
      <c r="R4" s="2">
        <f>28+17</f>
        <v>45</v>
      </c>
      <c r="S4" s="2">
        <v>11</v>
      </c>
      <c r="T4" s="2">
        <v>26</v>
      </c>
      <c r="V4" s="14">
        <f>28+8</f>
        <v>36</v>
      </c>
      <c r="W4" s="2">
        <f>28+16</f>
        <v>44</v>
      </c>
      <c r="X4" s="2">
        <v>1</v>
      </c>
      <c r="Y4" s="2">
        <v>25</v>
      </c>
      <c r="AA4" s="14">
        <f>28+13</f>
        <v>41</v>
      </c>
      <c r="AB4" s="2">
        <f>28+25</f>
        <v>53</v>
      </c>
      <c r="AC4" s="2">
        <v>7</v>
      </c>
      <c r="AD4" s="2">
        <v>19</v>
      </c>
      <c r="AF4" s="14">
        <f>28+11</f>
        <v>39</v>
      </c>
      <c r="AG4" s="2">
        <f>28+19</f>
        <v>47</v>
      </c>
      <c r="AH4" s="2">
        <v>6</v>
      </c>
      <c r="AI4" s="2">
        <v>15</v>
      </c>
      <c r="AK4" s="14">
        <f>28+4</f>
        <v>32</v>
      </c>
      <c r="AL4" s="2">
        <f>28+22</f>
        <v>50</v>
      </c>
      <c r="AM4" s="2">
        <v>4</v>
      </c>
      <c r="AN4" s="2">
        <v>28</v>
      </c>
      <c r="AP4" s="14">
        <f>28+3</f>
        <v>31</v>
      </c>
      <c r="AQ4" s="2">
        <f>28+24</f>
        <v>52</v>
      </c>
      <c r="AR4" s="2">
        <v>2</v>
      </c>
      <c r="AS4" s="2">
        <v>18</v>
      </c>
      <c r="AU4" s="14">
        <f>28+1</f>
        <v>29</v>
      </c>
      <c r="AV4" s="2">
        <f>28+18</f>
        <v>46</v>
      </c>
      <c r="AW4" s="2">
        <v>13</v>
      </c>
      <c r="AX4" s="2">
        <v>22</v>
      </c>
      <c r="AZ4" s="14">
        <f>28+2</f>
        <v>30</v>
      </c>
      <c r="BA4" s="2">
        <f>28+27</f>
        <v>55</v>
      </c>
      <c r="BB4" s="2">
        <v>5</v>
      </c>
      <c r="BC4" s="2">
        <v>24</v>
      </c>
      <c r="BE4" s="14">
        <f>28+9</f>
        <v>37</v>
      </c>
      <c r="BF4" s="2">
        <f>28+28</f>
        <v>56</v>
      </c>
      <c r="BG4" s="2">
        <v>14</v>
      </c>
      <c r="BH4" s="2">
        <v>21</v>
      </c>
      <c r="BJ4" s="14">
        <f>28+10</f>
        <v>38</v>
      </c>
      <c r="BK4" s="2">
        <f>28+23</f>
        <v>51</v>
      </c>
      <c r="BL4" s="2">
        <v>8</v>
      </c>
      <c r="BM4" s="2">
        <v>16</v>
      </c>
      <c r="BO4" s="14">
        <f>28+6</f>
        <v>34</v>
      </c>
      <c r="BP4" s="2">
        <f>28+15</f>
        <v>43</v>
      </c>
      <c r="BQ4" s="2">
        <v>12</v>
      </c>
      <c r="BR4" s="2">
        <v>17</v>
      </c>
    </row>
    <row r="5" spans="1:75" x14ac:dyDescent="0.2">
      <c r="A5" s="1" t="s">
        <v>2</v>
      </c>
      <c r="B5" s="14">
        <v>27</v>
      </c>
      <c r="C5" s="2">
        <f>28+11</f>
        <v>39</v>
      </c>
      <c r="D5" s="2">
        <f>28+22</f>
        <v>50</v>
      </c>
      <c r="E5" s="2">
        <v>12</v>
      </c>
      <c r="G5" s="14">
        <v>20</v>
      </c>
      <c r="H5" s="2">
        <f>28+1</f>
        <v>29</v>
      </c>
      <c r="I5" s="2">
        <f>28+19</f>
        <v>47</v>
      </c>
      <c r="J5" s="2">
        <v>8</v>
      </c>
      <c r="L5" s="14">
        <v>17</v>
      </c>
      <c r="M5" s="2">
        <f>28+3</f>
        <v>31</v>
      </c>
      <c r="N5" s="2">
        <f>28+17</f>
        <v>45</v>
      </c>
      <c r="O5" s="2">
        <v>3</v>
      </c>
      <c r="Q5" s="14">
        <v>18</v>
      </c>
      <c r="R5" s="2">
        <f>28+7</f>
        <v>35</v>
      </c>
      <c r="S5" s="2">
        <f>28+27</f>
        <v>55</v>
      </c>
      <c r="T5" s="2">
        <v>4</v>
      </c>
      <c r="V5" s="14">
        <v>23</v>
      </c>
      <c r="W5" s="2">
        <f>28+4</f>
        <v>32</v>
      </c>
      <c r="X5" s="2">
        <f>28+25</f>
        <v>53</v>
      </c>
      <c r="Y5" s="2">
        <v>6</v>
      </c>
      <c r="AA5" s="14">
        <v>21</v>
      </c>
      <c r="AB5" s="2">
        <f>28+8</f>
        <v>36</v>
      </c>
      <c r="AC5" s="2">
        <f>28+18</f>
        <v>46</v>
      </c>
      <c r="AD5" s="2">
        <v>5</v>
      </c>
      <c r="AF5" s="14">
        <v>28</v>
      </c>
      <c r="AG5" s="2">
        <f>28+2</f>
        <v>30</v>
      </c>
      <c r="AH5" s="2">
        <f>28+16</f>
        <v>44</v>
      </c>
      <c r="AI5" s="2">
        <v>10</v>
      </c>
      <c r="AK5" s="14">
        <v>19</v>
      </c>
      <c r="AL5" s="2">
        <f>28+12</f>
        <v>40</v>
      </c>
      <c r="AM5" s="2">
        <f>28+15</f>
        <v>43</v>
      </c>
      <c r="AN5" s="2">
        <v>13</v>
      </c>
      <c r="AP5" s="14">
        <v>25</v>
      </c>
      <c r="AQ5" s="2">
        <f>28+10</f>
        <v>38</v>
      </c>
      <c r="AR5" s="2">
        <f>28+26</f>
        <v>54</v>
      </c>
      <c r="AS5" s="2">
        <v>14</v>
      </c>
      <c r="AU5" s="14">
        <v>15</v>
      </c>
      <c r="AV5" s="2">
        <f>28+5</f>
        <v>33</v>
      </c>
      <c r="AW5" s="2">
        <f>28+28</f>
        <v>56</v>
      </c>
      <c r="AX5" s="2">
        <v>7</v>
      </c>
      <c r="AZ5" s="14">
        <v>26</v>
      </c>
      <c r="BA5" s="2">
        <f>28+9</f>
        <v>37</v>
      </c>
      <c r="BB5" s="2">
        <f>28+24</f>
        <v>52</v>
      </c>
      <c r="BC5" s="2">
        <v>1</v>
      </c>
      <c r="BE5" s="14">
        <v>22</v>
      </c>
      <c r="BF5" s="2">
        <f>28+13</f>
        <v>41</v>
      </c>
      <c r="BG5" s="2">
        <f>28+23</f>
        <v>51</v>
      </c>
      <c r="BH5" s="2">
        <v>2</v>
      </c>
      <c r="BJ5" s="14">
        <v>24</v>
      </c>
      <c r="BK5" s="2">
        <f>28+6</f>
        <v>34</v>
      </c>
      <c r="BL5" s="2">
        <f>28+21</f>
        <v>49</v>
      </c>
      <c r="BM5" s="2">
        <v>11</v>
      </c>
      <c r="BO5" s="14">
        <v>16</v>
      </c>
      <c r="BP5" s="2">
        <f>28+14</f>
        <v>42</v>
      </c>
      <c r="BQ5" s="2">
        <f>28+20</f>
        <v>48</v>
      </c>
      <c r="BR5" s="2">
        <v>9</v>
      </c>
    </row>
    <row r="6" spans="1:75" x14ac:dyDescent="0.2">
      <c r="A6" s="1" t="s">
        <v>3</v>
      </c>
      <c r="B6" s="14">
        <f>28+25</f>
        <v>53</v>
      </c>
      <c r="C6" s="2">
        <v>10</v>
      </c>
      <c r="D6" s="2">
        <v>18</v>
      </c>
      <c r="E6" s="2">
        <f>28+12</f>
        <v>40</v>
      </c>
      <c r="G6" s="14">
        <f>28+17</f>
        <v>45</v>
      </c>
      <c r="H6" s="2">
        <v>14</v>
      </c>
      <c r="I6" s="2">
        <v>19</v>
      </c>
      <c r="J6" s="2">
        <f>28+8</f>
        <v>36</v>
      </c>
      <c r="L6" s="14">
        <f>28+22</f>
        <v>50</v>
      </c>
      <c r="M6" s="2">
        <v>5</v>
      </c>
      <c r="N6" s="2">
        <v>22</v>
      </c>
      <c r="O6" s="2">
        <f>28+9</f>
        <v>37</v>
      </c>
      <c r="Q6" s="14">
        <f>28+28</f>
        <v>56</v>
      </c>
      <c r="R6" s="2">
        <v>12</v>
      </c>
      <c r="S6" s="2">
        <v>25</v>
      </c>
      <c r="T6" s="2">
        <f>28+2</f>
        <v>30</v>
      </c>
      <c r="V6" s="14">
        <f>28+23</f>
        <v>51</v>
      </c>
      <c r="W6" s="2">
        <v>11</v>
      </c>
      <c r="X6" s="2">
        <v>15</v>
      </c>
      <c r="Y6" s="2">
        <f>28+7</f>
        <v>35</v>
      </c>
      <c r="AA6" s="14">
        <f>28+19</f>
        <v>47</v>
      </c>
      <c r="AB6" s="2">
        <v>13</v>
      </c>
      <c r="AC6" s="2">
        <v>28</v>
      </c>
      <c r="AD6" s="2">
        <f>28+14</f>
        <v>42</v>
      </c>
      <c r="AF6" s="14">
        <f>28+18</f>
        <v>46</v>
      </c>
      <c r="AG6" s="2">
        <v>3</v>
      </c>
      <c r="AH6" s="2">
        <v>27</v>
      </c>
      <c r="AI6" s="2">
        <f>28+10</f>
        <v>38</v>
      </c>
      <c r="AK6" s="14">
        <f>28+27</f>
        <v>55</v>
      </c>
      <c r="AL6" s="2">
        <v>9</v>
      </c>
      <c r="AM6" s="2">
        <v>21</v>
      </c>
      <c r="AN6" s="2">
        <f>28+1</f>
        <v>29</v>
      </c>
      <c r="AP6" s="14">
        <f>28+21</f>
        <v>49</v>
      </c>
      <c r="AQ6" s="2">
        <v>8</v>
      </c>
      <c r="AR6" s="2">
        <v>17</v>
      </c>
      <c r="AS6" s="2">
        <f>28+13</f>
        <v>41</v>
      </c>
      <c r="AU6" s="14">
        <f>28+24</f>
        <v>52</v>
      </c>
      <c r="AV6" s="2">
        <v>6</v>
      </c>
      <c r="AW6" s="2">
        <v>16</v>
      </c>
      <c r="AX6" s="2">
        <f>28+6</f>
        <v>34</v>
      </c>
      <c r="AZ6" s="14">
        <f>28+26</f>
        <v>54</v>
      </c>
      <c r="BA6" s="2">
        <v>4</v>
      </c>
      <c r="BB6" s="2">
        <v>20</v>
      </c>
      <c r="BC6" s="2">
        <f>28+5</f>
        <v>33</v>
      </c>
      <c r="BE6" s="14">
        <f>28+20</f>
        <v>48</v>
      </c>
      <c r="BF6" s="2">
        <v>1</v>
      </c>
      <c r="BG6" s="2">
        <v>24</v>
      </c>
      <c r="BH6" s="2">
        <f>28+3</f>
        <v>31</v>
      </c>
      <c r="BJ6" s="14">
        <f>28+15</f>
        <v>43</v>
      </c>
      <c r="BK6" s="2">
        <v>7</v>
      </c>
      <c r="BL6" s="2">
        <v>26</v>
      </c>
      <c r="BM6" s="2">
        <f>28+4</f>
        <v>32</v>
      </c>
      <c r="BO6" s="14">
        <f>28+16</f>
        <v>44</v>
      </c>
      <c r="BP6" s="2">
        <v>2</v>
      </c>
      <c r="BQ6" s="2">
        <v>23</v>
      </c>
      <c r="BR6" s="2">
        <f>28+11</f>
        <v>39</v>
      </c>
    </row>
    <row r="7" spans="1:75" x14ac:dyDescent="0.2">
      <c r="A7" s="1" t="s">
        <v>4</v>
      </c>
      <c r="B7" s="14">
        <v>13</v>
      </c>
      <c r="C7" s="2">
        <v>26</v>
      </c>
      <c r="D7" s="2">
        <f>28+8</f>
        <v>36</v>
      </c>
      <c r="E7" s="2">
        <f>28+23</f>
        <v>51</v>
      </c>
      <c r="G7" s="14">
        <v>11</v>
      </c>
      <c r="H7" s="2">
        <v>18</v>
      </c>
      <c r="I7" s="2">
        <f>28+2</f>
        <v>30</v>
      </c>
      <c r="J7" s="2">
        <f>28+22</f>
        <v>50</v>
      </c>
      <c r="L7" s="14">
        <v>14</v>
      </c>
      <c r="M7" s="2">
        <v>15</v>
      </c>
      <c r="N7" s="2">
        <f>28+13</f>
        <v>41</v>
      </c>
      <c r="O7" s="2">
        <f>28+24</f>
        <v>52</v>
      </c>
      <c r="Q7" s="14">
        <v>10</v>
      </c>
      <c r="R7" s="2">
        <v>22</v>
      </c>
      <c r="S7" s="2">
        <f>28+3</f>
        <v>31</v>
      </c>
      <c r="T7" s="2">
        <f>28+21</f>
        <v>49</v>
      </c>
      <c r="V7" s="14">
        <v>5</v>
      </c>
      <c r="W7" s="2">
        <v>19</v>
      </c>
      <c r="X7" s="2">
        <f>28+5</f>
        <v>33</v>
      </c>
      <c r="Y7" s="2">
        <f>28+19</f>
        <v>47</v>
      </c>
      <c r="AA7" s="14">
        <v>6</v>
      </c>
      <c r="AB7" s="2">
        <v>20</v>
      </c>
      <c r="AC7" s="2">
        <f>28+9</f>
        <v>37</v>
      </c>
      <c r="AD7" s="2">
        <f>28+15</f>
        <v>43</v>
      </c>
      <c r="AF7" s="14">
        <v>8</v>
      </c>
      <c r="AG7" s="2">
        <v>25</v>
      </c>
      <c r="AH7" s="2">
        <f>28+6</f>
        <v>34</v>
      </c>
      <c r="AI7" s="2">
        <f>28+27</f>
        <v>55</v>
      </c>
      <c r="AK7" s="14">
        <v>7</v>
      </c>
      <c r="AL7" s="2">
        <v>23</v>
      </c>
      <c r="AM7" s="2">
        <f>28+10</f>
        <v>38</v>
      </c>
      <c r="AN7" s="2">
        <f>28+20</f>
        <v>48</v>
      </c>
      <c r="AP7" s="14">
        <v>12</v>
      </c>
      <c r="AQ7" s="2">
        <v>16</v>
      </c>
      <c r="AR7" s="2">
        <f>28+4</f>
        <v>32</v>
      </c>
      <c r="AS7" s="2">
        <f>28+18</f>
        <v>46</v>
      </c>
      <c r="AU7" s="14">
        <v>1</v>
      </c>
      <c r="AV7" s="2">
        <v>21</v>
      </c>
      <c r="AW7" s="2">
        <f>28+14</f>
        <v>42</v>
      </c>
      <c r="AX7" s="2">
        <f>28+17</f>
        <v>45</v>
      </c>
      <c r="AZ7" s="14">
        <v>2</v>
      </c>
      <c r="BA7" s="2">
        <v>27</v>
      </c>
      <c r="BB7" s="2">
        <f>28+12</f>
        <v>40</v>
      </c>
      <c r="BC7" s="2">
        <f>28+28</f>
        <v>56</v>
      </c>
      <c r="BE7" s="14">
        <v>9</v>
      </c>
      <c r="BF7" s="2">
        <v>17</v>
      </c>
      <c r="BG7" s="2">
        <f>28+7</f>
        <v>35</v>
      </c>
      <c r="BH7" s="2">
        <f>28+16</f>
        <v>44</v>
      </c>
      <c r="BJ7" s="14">
        <v>3</v>
      </c>
      <c r="BK7" s="2">
        <v>28</v>
      </c>
      <c r="BL7" s="2">
        <f>28+11</f>
        <v>39</v>
      </c>
      <c r="BM7" s="2">
        <f>28+26</f>
        <v>54</v>
      </c>
      <c r="BO7" s="14">
        <v>4</v>
      </c>
      <c r="BP7" s="2">
        <v>24</v>
      </c>
      <c r="BQ7" s="2">
        <f>28+1</f>
        <v>29</v>
      </c>
      <c r="BR7" s="2">
        <f>28+25</f>
        <v>53</v>
      </c>
    </row>
    <row r="8" spans="1:75" x14ac:dyDescent="0.2">
      <c r="A8" s="1" t="s">
        <v>5</v>
      </c>
      <c r="B8" s="14">
        <f>28+6</f>
        <v>34</v>
      </c>
      <c r="C8" s="2">
        <f>28+17</f>
        <v>45</v>
      </c>
      <c r="D8" s="2">
        <v>9</v>
      </c>
      <c r="E8" s="2">
        <v>28</v>
      </c>
      <c r="G8" s="14">
        <f>28+13</f>
        <v>41</v>
      </c>
      <c r="H8" s="2">
        <f>28+18</f>
        <v>46</v>
      </c>
      <c r="I8" s="2">
        <v>4</v>
      </c>
      <c r="J8" s="2">
        <v>25</v>
      </c>
      <c r="L8" s="14">
        <f>28+14</f>
        <v>42</v>
      </c>
      <c r="M8" s="2">
        <f>28+27</f>
        <v>55</v>
      </c>
      <c r="N8" s="2">
        <v>12</v>
      </c>
      <c r="O8" s="2">
        <v>20</v>
      </c>
      <c r="Q8" s="14">
        <f>28+10</f>
        <v>38</v>
      </c>
      <c r="R8" s="2">
        <f>28+19</f>
        <v>47</v>
      </c>
      <c r="S8" s="2">
        <v>2</v>
      </c>
      <c r="T8" s="2">
        <v>21</v>
      </c>
      <c r="V8" s="14">
        <f>28+11</f>
        <v>39</v>
      </c>
      <c r="W8" s="2">
        <f>28+24</f>
        <v>52</v>
      </c>
      <c r="X8" s="2">
        <v>7</v>
      </c>
      <c r="Y8" s="2">
        <v>24</v>
      </c>
      <c r="AA8" s="14">
        <f>28+4</f>
        <v>32</v>
      </c>
      <c r="AB8" s="2">
        <f>28+16</f>
        <v>44</v>
      </c>
      <c r="AC8" s="2">
        <v>14</v>
      </c>
      <c r="AD8" s="2">
        <v>27</v>
      </c>
      <c r="AF8" s="14">
        <f>28+9</f>
        <v>37</v>
      </c>
      <c r="AG8" s="2">
        <f>28+25</f>
        <v>53</v>
      </c>
      <c r="AH8" s="2">
        <v>13</v>
      </c>
      <c r="AI8" s="2">
        <v>17</v>
      </c>
      <c r="AK8" s="14">
        <f>28+2</f>
        <v>30</v>
      </c>
      <c r="AL8" s="2">
        <f>28+21</f>
        <v>49</v>
      </c>
      <c r="AM8" s="2">
        <v>1</v>
      </c>
      <c r="AN8" s="2">
        <v>16</v>
      </c>
      <c r="AP8" s="14">
        <f>28+12</f>
        <v>40</v>
      </c>
      <c r="AQ8" s="2">
        <f>28+20</f>
        <v>48</v>
      </c>
      <c r="AR8" s="2">
        <v>5</v>
      </c>
      <c r="AS8" s="2">
        <v>15</v>
      </c>
      <c r="AU8" s="14">
        <f>28+3</f>
        <v>31</v>
      </c>
      <c r="AV8" s="2">
        <f>28+15</f>
        <v>43</v>
      </c>
      <c r="AW8" s="2">
        <v>11</v>
      </c>
      <c r="AX8" s="2">
        <v>23</v>
      </c>
      <c r="AZ8" s="14">
        <f>28+1</f>
        <v>29</v>
      </c>
      <c r="BA8" s="2">
        <f>28+23</f>
        <v>51</v>
      </c>
      <c r="BB8" s="2">
        <v>10</v>
      </c>
      <c r="BC8" s="2">
        <v>19</v>
      </c>
      <c r="BE8" s="14">
        <f>28+8</f>
        <v>36</v>
      </c>
      <c r="BF8" s="2">
        <f>28+26</f>
        <v>54</v>
      </c>
      <c r="BG8" s="2">
        <v>8</v>
      </c>
      <c r="BH8" s="2">
        <v>18</v>
      </c>
      <c r="BJ8" s="14">
        <f>28+7</f>
        <v>35</v>
      </c>
      <c r="BK8" s="2">
        <f>28+28</f>
        <v>56</v>
      </c>
      <c r="BL8" s="2">
        <v>6</v>
      </c>
      <c r="BM8" s="2">
        <v>22</v>
      </c>
      <c r="BO8" s="14">
        <f>28+5</f>
        <v>33</v>
      </c>
      <c r="BP8" s="2">
        <f>28+22</f>
        <v>50</v>
      </c>
      <c r="BQ8" s="2">
        <v>3</v>
      </c>
      <c r="BR8" s="2">
        <v>26</v>
      </c>
    </row>
    <row r="9" spans="1:75" x14ac:dyDescent="0.2">
      <c r="A9" s="1" t="s">
        <v>6</v>
      </c>
      <c r="B9" s="14">
        <v>16</v>
      </c>
      <c r="C9" s="2">
        <f>28+13</f>
        <v>41</v>
      </c>
      <c r="D9" s="2">
        <f>28+28</f>
        <v>56</v>
      </c>
      <c r="E9" s="2">
        <v>5</v>
      </c>
      <c r="G9" s="14">
        <v>26</v>
      </c>
      <c r="H9" s="2">
        <f>28+3</f>
        <v>31</v>
      </c>
      <c r="I9" s="2">
        <f>28+27</f>
        <v>55</v>
      </c>
      <c r="J9" s="2">
        <v>6</v>
      </c>
      <c r="L9" s="14">
        <v>28</v>
      </c>
      <c r="M9" s="2">
        <f>28+10</f>
        <v>38</v>
      </c>
      <c r="N9" s="2">
        <f>28+25</f>
        <v>53</v>
      </c>
      <c r="O9" s="2">
        <v>1</v>
      </c>
      <c r="Q9" s="14">
        <v>20</v>
      </c>
      <c r="R9" s="2">
        <f>28+4</f>
        <v>32</v>
      </c>
      <c r="S9" s="2">
        <f>28+24</f>
        <v>52</v>
      </c>
      <c r="T9" s="2">
        <v>13</v>
      </c>
      <c r="V9" s="14">
        <v>17</v>
      </c>
      <c r="W9" s="2">
        <f>28+1</f>
        <v>29</v>
      </c>
      <c r="X9" s="2">
        <f>28+26</f>
        <v>54</v>
      </c>
      <c r="Y9" s="2">
        <v>2</v>
      </c>
      <c r="AA9" s="14">
        <v>24</v>
      </c>
      <c r="AB9" s="2">
        <f>28+5</f>
        <v>33</v>
      </c>
      <c r="AC9" s="2">
        <f>28+23</f>
        <v>51</v>
      </c>
      <c r="AD9" s="2">
        <v>12</v>
      </c>
      <c r="AF9" s="14">
        <v>21</v>
      </c>
      <c r="AG9" s="2">
        <f>28+7</f>
        <v>35</v>
      </c>
      <c r="AH9" s="2">
        <f>28+21</f>
        <v>49</v>
      </c>
      <c r="AI9" s="2">
        <v>7</v>
      </c>
      <c r="AK9" s="14">
        <v>22</v>
      </c>
      <c r="AL9" s="2">
        <f>28+11</f>
        <v>39</v>
      </c>
      <c r="AM9" s="2">
        <f>28+17</f>
        <v>45</v>
      </c>
      <c r="AN9" s="2">
        <v>8</v>
      </c>
      <c r="AP9" s="14">
        <v>27</v>
      </c>
      <c r="AQ9" s="2">
        <f>28+8</f>
        <v>36</v>
      </c>
      <c r="AR9" s="2">
        <f>28+15</f>
        <v>43</v>
      </c>
      <c r="AS9" s="2">
        <v>10</v>
      </c>
      <c r="AU9" s="14">
        <v>25</v>
      </c>
      <c r="AV9" s="2">
        <f>28+12</f>
        <v>40</v>
      </c>
      <c r="AW9" s="2">
        <f>28+22</f>
        <v>50</v>
      </c>
      <c r="AX9" s="2">
        <v>9</v>
      </c>
      <c r="AZ9" s="14">
        <v>18</v>
      </c>
      <c r="BA9" s="2">
        <f>28+6</f>
        <v>34</v>
      </c>
      <c r="BB9" s="2">
        <f>28+20</f>
        <v>48</v>
      </c>
      <c r="BC9" s="2">
        <v>14</v>
      </c>
      <c r="BE9" s="14">
        <v>23</v>
      </c>
      <c r="BF9" s="2">
        <f>28+2</f>
        <v>30</v>
      </c>
      <c r="BG9" s="2">
        <f>28+19</f>
        <v>47</v>
      </c>
      <c r="BH9" s="2">
        <v>3</v>
      </c>
      <c r="BJ9" s="14">
        <v>15</v>
      </c>
      <c r="BK9" s="2">
        <f>28+14</f>
        <v>42</v>
      </c>
      <c r="BL9" s="2">
        <f>28+16</f>
        <v>44</v>
      </c>
      <c r="BM9" s="2">
        <v>4</v>
      </c>
      <c r="BO9" s="14">
        <v>19</v>
      </c>
      <c r="BP9" s="2">
        <f>28+9</f>
        <v>37</v>
      </c>
      <c r="BQ9" s="2">
        <f>28+18</f>
        <v>46</v>
      </c>
      <c r="BR9" s="2">
        <v>11</v>
      </c>
    </row>
    <row r="10" spans="1:75" x14ac:dyDescent="0.2">
      <c r="A10" s="1"/>
    </row>
    <row r="11" spans="1:75" x14ac:dyDescent="0.2">
      <c r="A11" s="1"/>
    </row>
    <row r="12" spans="1:75" x14ac:dyDescent="0.2">
      <c r="A12" s="1"/>
      <c r="BT12" s="15"/>
      <c r="BU12" s="15"/>
      <c r="BV12" s="15"/>
      <c r="BW12" s="15"/>
    </row>
    <row r="13" spans="1:75" ht="15" x14ac:dyDescent="0.25">
      <c r="A13" s="1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</row>
    <row r="14" spans="1:75" ht="15" x14ac:dyDescent="0.25">
      <c r="A14" s="1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  <row r="15" spans="1:75" ht="15" x14ac:dyDescent="0.25">
      <c r="A15" s="1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</row>
    <row r="16" spans="1:75" ht="15" x14ac:dyDescent="0.25">
      <c r="A16" s="1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</row>
    <row r="17" spans="1:75" ht="15" x14ac:dyDescent="0.25">
      <c r="A17" s="1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</row>
    <row r="18" spans="1:75" ht="15" x14ac:dyDescent="0.25">
      <c r="A18" s="1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</row>
    <row r="19" spans="1:75" ht="15" x14ac:dyDescent="0.25">
      <c r="A19" s="1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</row>
    <row r="20" spans="1:75" ht="15" x14ac:dyDescent="0.25">
      <c r="A20" s="1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</row>
    <row r="21" spans="1:75" ht="15" x14ac:dyDescent="0.25">
      <c r="A21" s="1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</row>
    <row r="22" spans="1:75" ht="15" x14ac:dyDescent="0.25">
      <c r="A22" s="1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</row>
    <row r="23" spans="1:75" ht="15" x14ac:dyDescent="0.25">
      <c r="A23" s="1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</row>
    <row r="24" spans="1:75" ht="15" x14ac:dyDescent="0.25">
      <c r="A24" s="1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</row>
    <row r="25" spans="1:75" ht="15" x14ac:dyDescent="0.25">
      <c r="A25" s="1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</row>
    <row r="26" spans="1:75" ht="15" x14ac:dyDescent="0.25">
      <c r="A26" s="1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</row>
    <row r="27" spans="1:75" ht="15" x14ac:dyDescent="0.25">
      <c r="A27" s="1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</row>
    <row r="28" spans="1:75" ht="15" x14ac:dyDescent="0.25">
      <c r="A28" s="1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</row>
    <row r="29" spans="1:75" ht="15" x14ac:dyDescent="0.25">
      <c r="A29" s="1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</row>
    <row r="30" spans="1:75" ht="15" x14ac:dyDescent="0.25">
      <c r="A30" s="1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</row>
    <row r="31" spans="1:75" ht="15" x14ac:dyDescent="0.25">
      <c r="A31" s="1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</row>
    <row r="32" spans="1:75" ht="15" x14ac:dyDescent="0.25">
      <c r="A32" s="1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</row>
    <row r="33" spans="1:75" ht="15" x14ac:dyDescent="0.25">
      <c r="A33" s="1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</row>
    <row r="34" spans="1:75" ht="15" x14ac:dyDescent="0.25">
      <c r="A34" s="1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</row>
    <row r="35" spans="1:75" ht="15" x14ac:dyDescent="0.25">
      <c r="A35" s="1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</row>
    <row r="36" spans="1:75" ht="15" x14ac:dyDescent="0.25">
      <c r="A36" s="1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</row>
    <row r="37" spans="1:75" ht="15" x14ac:dyDescent="0.25">
      <c r="A37" s="1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</row>
    <row r="38" spans="1:75" ht="15" x14ac:dyDescent="0.25">
      <c r="A38" s="1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</row>
    <row r="39" spans="1:75" ht="15" x14ac:dyDescent="0.25">
      <c r="A39" s="1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</row>
    <row r="40" spans="1:75" ht="15" x14ac:dyDescent="0.25">
      <c r="A40" s="1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</row>
    <row r="41" spans="1:75" ht="15" x14ac:dyDescent="0.25">
      <c r="A41" s="1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</row>
    <row r="42" spans="1:75" ht="15" x14ac:dyDescent="0.25">
      <c r="A42" s="1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</row>
    <row r="43" spans="1:75" ht="15" x14ac:dyDescent="0.25">
      <c r="A43" s="1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</row>
    <row r="44" spans="1:75" ht="15" x14ac:dyDescent="0.25">
      <c r="A44" s="1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</row>
    <row r="45" spans="1:75" ht="15" x14ac:dyDescent="0.25">
      <c r="A45" s="1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</row>
    <row r="46" spans="1:75" ht="15" x14ac:dyDescent="0.25">
      <c r="A46" s="1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</row>
    <row r="47" spans="1:75" ht="15" x14ac:dyDescent="0.25">
      <c r="A47" s="1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</row>
    <row r="48" spans="1:75" ht="15" x14ac:dyDescent="0.25">
      <c r="A48" s="1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</row>
    <row r="49" spans="1:75" ht="15" x14ac:dyDescent="0.25">
      <c r="A49" s="1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</row>
    <row r="50" spans="1:75" ht="15" x14ac:dyDescent="0.25">
      <c r="A50" s="1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</row>
    <row r="51" spans="1:75" ht="15" x14ac:dyDescent="0.25">
      <c r="A51" s="1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</row>
    <row r="52" spans="1:75" ht="15" x14ac:dyDescent="0.25">
      <c r="A52" s="1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</row>
    <row r="53" spans="1:75" ht="15" x14ac:dyDescent="0.25">
      <c r="A53" s="1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</row>
    <row r="54" spans="1:75" ht="15" x14ac:dyDescent="0.25">
      <c r="A54" s="1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</row>
    <row r="55" spans="1:75" ht="15" x14ac:dyDescent="0.25">
      <c r="A55" s="1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</row>
    <row r="56" spans="1:75" ht="15" x14ac:dyDescent="0.25">
      <c r="A56" s="1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</row>
    <row r="57" spans="1:75" ht="15" x14ac:dyDescent="0.25">
      <c r="A57" s="1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</row>
    <row r="58" spans="1:75" ht="15" x14ac:dyDescent="0.25">
      <c r="A58" s="1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</row>
    <row r="59" spans="1:75" ht="15" x14ac:dyDescent="0.25">
      <c r="A59" s="1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</row>
    <row r="60" spans="1:75" ht="15" x14ac:dyDescent="0.25">
      <c r="A60" s="1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</row>
    <row r="61" spans="1:75" ht="15" x14ac:dyDescent="0.25">
      <c r="A61" s="1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</row>
    <row r="62" spans="1:75" ht="15" x14ac:dyDescent="0.25">
      <c r="A62" s="1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</row>
    <row r="63" spans="1:75" ht="15" x14ac:dyDescent="0.25">
      <c r="A63" s="1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</row>
    <row r="64" spans="1:75" ht="15" x14ac:dyDescent="0.25">
      <c r="A64" s="1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</row>
    <row r="65" spans="1:75" ht="15" x14ac:dyDescent="0.25">
      <c r="A65" s="1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</row>
    <row r="66" spans="1:75" ht="15" x14ac:dyDescent="0.25">
      <c r="A66" s="1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</row>
    <row r="67" spans="1:75" ht="15" x14ac:dyDescent="0.25">
      <c r="A67" s="1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</row>
    <row r="68" spans="1:75" ht="15" x14ac:dyDescent="0.25">
      <c r="A68" s="1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</row>
  </sheetData>
  <mergeCells count="14">
    <mergeCell ref="AP1:AS1"/>
    <mergeCell ref="BO1:BR1"/>
    <mergeCell ref="BJ1:BM1"/>
    <mergeCell ref="BE1:BH1"/>
    <mergeCell ref="AZ1:BC1"/>
    <mergeCell ref="AU1:AX1"/>
    <mergeCell ref="AK1:AN1"/>
    <mergeCell ref="AF1:AI1"/>
    <mergeCell ref="AA1:AD1"/>
    <mergeCell ref="B1:E1"/>
    <mergeCell ref="G1:J1"/>
    <mergeCell ref="L1:O1"/>
    <mergeCell ref="Q1:T1"/>
    <mergeCell ref="V1:Y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CB72"/>
  <sheetViews>
    <sheetView zoomScale="80" zoomScaleNormal="80" workbookViewId="0"/>
  </sheetViews>
  <sheetFormatPr defaultColWidth="9.140625" defaultRowHeight="12.75" x14ac:dyDescent="0.2"/>
  <cols>
    <col min="1" max="1" width="9.140625" style="2"/>
    <col min="2" max="5" width="4" style="2" bestFit="1" customWidth="1"/>
    <col min="6" max="6" width="4" style="2" customWidth="1"/>
    <col min="7" max="10" width="4" style="2" bestFit="1" customWidth="1"/>
    <col min="11" max="11" width="4" style="2" customWidth="1"/>
    <col min="12" max="15" width="4" style="2" bestFit="1" customWidth="1"/>
    <col min="16" max="16" width="4" style="2" customWidth="1"/>
    <col min="17" max="20" width="4" style="2" bestFit="1" customWidth="1"/>
    <col min="21" max="21" width="4" style="2" customWidth="1"/>
    <col min="22" max="25" width="4" style="2" bestFit="1" customWidth="1"/>
    <col min="26" max="26" width="4" style="2" customWidth="1"/>
    <col min="27" max="30" width="4" style="2" bestFit="1" customWidth="1"/>
    <col min="31" max="31" width="4" style="2" customWidth="1"/>
    <col min="32" max="35" width="4" style="2" bestFit="1" customWidth="1"/>
    <col min="36" max="36" width="4" style="2" customWidth="1"/>
    <col min="37" max="40" width="4" style="2" bestFit="1" customWidth="1"/>
    <col min="41" max="41" width="4" style="2" customWidth="1"/>
    <col min="42" max="45" width="4" style="2" bestFit="1" customWidth="1"/>
    <col min="46" max="46" width="4" style="2" customWidth="1"/>
    <col min="47" max="50" width="4" style="2" bestFit="1" customWidth="1"/>
    <col min="51" max="51" width="4" style="2" customWidth="1"/>
    <col min="52" max="55" width="4" style="2" bestFit="1" customWidth="1"/>
    <col min="56" max="56" width="4" style="2" customWidth="1"/>
    <col min="57" max="60" width="4" style="2" bestFit="1" customWidth="1"/>
    <col min="61" max="61" width="4" style="2" customWidth="1"/>
    <col min="62" max="65" width="4" style="2" bestFit="1" customWidth="1"/>
    <col min="66" max="66" width="4" style="2" customWidth="1"/>
    <col min="67" max="70" width="4" style="2" bestFit="1" customWidth="1"/>
    <col min="71" max="71" width="4" style="2" customWidth="1"/>
    <col min="72" max="75" width="4" style="2" bestFit="1" customWidth="1"/>
    <col min="76" max="76" width="5.42578125" style="2" customWidth="1"/>
    <col min="77" max="77" width="6" style="2" bestFit="1" customWidth="1"/>
    <col min="78" max="78" width="7.7109375" style="2" bestFit="1" customWidth="1"/>
    <col min="79" max="79" width="6.5703125" style="2" bestFit="1" customWidth="1"/>
    <col min="80" max="80" width="7.140625" style="2" bestFit="1" customWidth="1"/>
    <col min="81" max="16384" width="9.140625" style="2"/>
  </cols>
  <sheetData>
    <row r="1" spans="1:80" s="3" customFormat="1" x14ac:dyDescent="0.2">
      <c r="B1" s="18" t="s">
        <v>7</v>
      </c>
      <c r="C1" s="18"/>
      <c r="D1" s="18"/>
      <c r="E1" s="18"/>
      <c r="F1" s="15"/>
      <c r="G1" s="18" t="s">
        <v>8</v>
      </c>
      <c r="H1" s="18"/>
      <c r="I1" s="18"/>
      <c r="J1" s="18"/>
      <c r="K1" s="15"/>
      <c r="L1" s="18" t="s">
        <v>9</v>
      </c>
      <c r="M1" s="18"/>
      <c r="N1" s="18"/>
      <c r="O1" s="18"/>
      <c r="P1" s="15"/>
      <c r="Q1" s="18" t="s">
        <v>10</v>
      </c>
      <c r="R1" s="18"/>
      <c r="S1" s="18"/>
      <c r="T1" s="18"/>
      <c r="U1" s="15"/>
      <c r="V1" s="18" t="s">
        <v>11</v>
      </c>
      <c r="W1" s="18"/>
      <c r="X1" s="18"/>
      <c r="Y1" s="18"/>
      <c r="Z1" s="15"/>
      <c r="AA1" s="18" t="s">
        <v>12</v>
      </c>
      <c r="AB1" s="18"/>
      <c r="AC1" s="18"/>
      <c r="AD1" s="18"/>
      <c r="AE1" s="15"/>
      <c r="AF1" s="18" t="s">
        <v>13</v>
      </c>
      <c r="AG1" s="18"/>
      <c r="AH1" s="18"/>
      <c r="AI1" s="18"/>
      <c r="AJ1" s="15"/>
      <c r="AK1" s="18" t="s">
        <v>14</v>
      </c>
      <c r="AL1" s="18"/>
      <c r="AM1" s="18"/>
      <c r="AN1" s="18"/>
      <c r="AO1" s="15"/>
      <c r="AP1" s="18" t="s">
        <v>15</v>
      </c>
      <c r="AQ1" s="18"/>
      <c r="AR1" s="18"/>
      <c r="AS1" s="18"/>
      <c r="AT1" s="15"/>
      <c r="AU1" s="18" t="s">
        <v>16</v>
      </c>
      <c r="AV1" s="18"/>
      <c r="AW1" s="18"/>
      <c r="AX1" s="18"/>
      <c r="AY1" s="15"/>
      <c r="AZ1" s="18" t="s">
        <v>17</v>
      </c>
      <c r="BA1" s="18"/>
      <c r="BB1" s="18"/>
      <c r="BC1" s="18"/>
      <c r="BD1" s="15"/>
      <c r="BE1" s="18" t="s">
        <v>18</v>
      </c>
      <c r="BF1" s="18"/>
      <c r="BG1" s="18"/>
      <c r="BH1" s="18"/>
      <c r="BI1" s="15"/>
      <c r="BJ1" s="18" t="s">
        <v>19</v>
      </c>
      <c r="BK1" s="18"/>
      <c r="BL1" s="18"/>
      <c r="BM1" s="18"/>
      <c r="BN1" s="15"/>
      <c r="BO1" s="18" t="s">
        <v>20</v>
      </c>
      <c r="BP1" s="18"/>
      <c r="BQ1" s="18"/>
      <c r="BR1" s="18"/>
      <c r="BS1" s="15"/>
      <c r="BT1" s="18" t="s">
        <v>21</v>
      </c>
      <c r="BU1" s="18"/>
      <c r="BV1" s="18"/>
      <c r="BW1" s="18"/>
    </row>
    <row r="2" spans="1:80" s="8" customFormat="1" x14ac:dyDescent="0.2">
      <c r="B2" s="8" t="s">
        <v>25</v>
      </c>
      <c r="C2" s="8" t="s">
        <v>26</v>
      </c>
      <c r="D2" s="8" t="s">
        <v>27</v>
      </c>
      <c r="E2" s="8" t="s">
        <v>28</v>
      </c>
      <c r="F2" s="15"/>
      <c r="G2" s="8" t="s">
        <v>25</v>
      </c>
      <c r="H2" s="8" t="s">
        <v>26</v>
      </c>
      <c r="I2" s="8" t="s">
        <v>27</v>
      </c>
      <c r="J2" s="8" t="s">
        <v>28</v>
      </c>
      <c r="K2" s="15"/>
      <c r="L2" s="8" t="s">
        <v>25</v>
      </c>
      <c r="M2" s="8" t="s">
        <v>26</v>
      </c>
      <c r="N2" s="8" t="s">
        <v>27</v>
      </c>
      <c r="O2" s="8" t="s">
        <v>28</v>
      </c>
      <c r="P2" s="15"/>
      <c r="Q2" s="8" t="s">
        <v>25</v>
      </c>
      <c r="R2" s="8" t="s">
        <v>26</v>
      </c>
      <c r="S2" s="8" t="s">
        <v>27</v>
      </c>
      <c r="T2" s="8" t="s">
        <v>28</v>
      </c>
      <c r="U2" s="15"/>
      <c r="V2" s="8" t="s">
        <v>25</v>
      </c>
      <c r="W2" s="8" t="s">
        <v>26</v>
      </c>
      <c r="X2" s="8" t="s">
        <v>27</v>
      </c>
      <c r="Y2" s="8" t="s">
        <v>28</v>
      </c>
      <c r="Z2" s="15"/>
      <c r="AA2" s="8" t="s">
        <v>25</v>
      </c>
      <c r="AB2" s="8" t="s">
        <v>26</v>
      </c>
      <c r="AC2" s="8" t="s">
        <v>27</v>
      </c>
      <c r="AD2" s="8" t="s">
        <v>28</v>
      </c>
      <c r="AE2" s="15"/>
      <c r="AF2" s="8" t="s">
        <v>25</v>
      </c>
      <c r="AG2" s="8" t="s">
        <v>26</v>
      </c>
      <c r="AH2" s="8" t="s">
        <v>27</v>
      </c>
      <c r="AI2" s="8" t="s">
        <v>28</v>
      </c>
      <c r="AJ2" s="15"/>
      <c r="AK2" s="8" t="s">
        <v>25</v>
      </c>
      <c r="AL2" s="8" t="s">
        <v>26</v>
      </c>
      <c r="AM2" s="8" t="s">
        <v>27</v>
      </c>
      <c r="AN2" s="8" t="s">
        <v>28</v>
      </c>
      <c r="AO2" s="15"/>
      <c r="AP2" s="8" t="s">
        <v>25</v>
      </c>
      <c r="AQ2" s="8" t="s">
        <v>26</v>
      </c>
      <c r="AR2" s="8" t="s">
        <v>27</v>
      </c>
      <c r="AS2" s="8" t="s">
        <v>28</v>
      </c>
      <c r="AT2" s="15"/>
      <c r="AU2" s="8" t="s">
        <v>25</v>
      </c>
      <c r="AV2" s="8" t="s">
        <v>26</v>
      </c>
      <c r="AW2" s="8" t="s">
        <v>27</v>
      </c>
      <c r="AX2" s="8" t="s">
        <v>28</v>
      </c>
      <c r="AY2" s="15"/>
      <c r="AZ2" s="8" t="s">
        <v>25</v>
      </c>
      <c r="BA2" s="8" t="s">
        <v>26</v>
      </c>
      <c r="BB2" s="8" t="s">
        <v>27</v>
      </c>
      <c r="BC2" s="8" t="s">
        <v>28</v>
      </c>
      <c r="BD2" s="15"/>
      <c r="BE2" s="8" t="s">
        <v>25</v>
      </c>
      <c r="BF2" s="8" t="s">
        <v>26</v>
      </c>
      <c r="BG2" s="8" t="s">
        <v>27</v>
      </c>
      <c r="BH2" s="8" t="s">
        <v>28</v>
      </c>
      <c r="BI2" s="15"/>
      <c r="BJ2" s="8" t="s">
        <v>25</v>
      </c>
      <c r="BK2" s="8" t="s">
        <v>26</v>
      </c>
      <c r="BL2" s="8" t="s">
        <v>27</v>
      </c>
      <c r="BM2" s="8" t="s">
        <v>28</v>
      </c>
      <c r="BN2" s="15"/>
      <c r="BO2" s="8" t="s">
        <v>25</v>
      </c>
      <c r="BP2" s="8" t="s">
        <v>26</v>
      </c>
      <c r="BQ2" s="8" t="s">
        <v>27</v>
      </c>
      <c r="BR2" s="8" t="s">
        <v>28</v>
      </c>
      <c r="BS2" s="15"/>
      <c r="BT2" s="8" t="s">
        <v>25</v>
      </c>
      <c r="BU2" s="8" t="s">
        <v>26</v>
      </c>
      <c r="BV2" s="8" t="s">
        <v>27</v>
      </c>
      <c r="BW2" s="8" t="s">
        <v>28</v>
      </c>
    </row>
    <row r="3" spans="1:80" x14ac:dyDescent="0.2">
      <c r="A3" s="3" t="s">
        <v>0</v>
      </c>
      <c r="B3" s="14">
        <v>1</v>
      </c>
      <c r="C3" s="2">
        <v>16</v>
      </c>
      <c r="D3" s="2">
        <f>30+1</f>
        <v>31</v>
      </c>
      <c r="E3" s="2">
        <f>30+16</f>
        <v>46</v>
      </c>
      <c r="G3" s="14">
        <v>3</v>
      </c>
      <c r="H3" s="2">
        <v>23</v>
      </c>
      <c r="I3" s="2">
        <f>30+9</f>
        <v>39</v>
      </c>
      <c r="J3" s="2">
        <f>30+25</f>
        <v>55</v>
      </c>
      <c r="L3" s="14">
        <v>2</v>
      </c>
      <c r="M3" s="2">
        <v>19</v>
      </c>
      <c r="N3" s="2">
        <f>30+15</f>
        <v>45</v>
      </c>
      <c r="O3" s="2">
        <f>30+27</f>
        <v>57</v>
      </c>
      <c r="Q3" s="14">
        <v>14</v>
      </c>
      <c r="R3" s="2">
        <v>28</v>
      </c>
      <c r="S3" s="2">
        <f>30+7</f>
        <v>37</v>
      </c>
      <c r="T3" s="2">
        <f>30+30</f>
        <v>60</v>
      </c>
      <c r="V3" s="14">
        <v>8</v>
      </c>
      <c r="W3" s="2">
        <v>24</v>
      </c>
      <c r="X3" s="2">
        <f>30+4</f>
        <v>34</v>
      </c>
      <c r="Y3" s="2">
        <f>30+21</f>
        <v>51</v>
      </c>
      <c r="AA3" s="14">
        <v>4</v>
      </c>
      <c r="AB3" s="2">
        <v>30</v>
      </c>
      <c r="AC3" s="2">
        <f>30+2</f>
        <v>32</v>
      </c>
      <c r="AD3" s="2">
        <f>30+24</f>
        <v>54</v>
      </c>
      <c r="AF3" s="14">
        <v>11</v>
      </c>
      <c r="AG3" s="2">
        <v>20</v>
      </c>
      <c r="AH3" s="2">
        <f>30+12</f>
        <v>42</v>
      </c>
      <c r="AI3" s="2">
        <f>30+18</f>
        <v>48</v>
      </c>
      <c r="AK3" s="14">
        <v>13</v>
      </c>
      <c r="AL3" s="2">
        <v>26</v>
      </c>
      <c r="AM3" s="2">
        <f>30+3</f>
        <v>33</v>
      </c>
      <c r="AN3" s="2">
        <f>30+22</f>
        <v>52</v>
      </c>
      <c r="AP3" s="14">
        <v>15</v>
      </c>
      <c r="AQ3" s="2">
        <v>18</v>
      </c>
      <c r="AR3" s="2">
        <f>30+6</f>
        <v>36</v>
      </c>
      <c r="AS3" s="2">
        <f>30+17</f>
        <v>47</v>
      </c>
      <c r="AU3" s="14">
        <v>12</v>
      </c>
      <c r="AV3" s="2">
        <v>22</v>
      </c>
      <c r="AW3" s="2">
        <f>30+11</f>
        <v>41</v>
      </c>
      <c r="AX3" s="2">
        <f>30+29</f>
        <v>59</v>
      </c>
      <c r="AZ3" s="14">
        <v>5</v>
      </c>
      <c r="BA3" s="2">
        <v>17</v>
      </c>
      <c r="BB3" s="2">
        <f>30+13</f>
        <v>43</v>
      </c>
      <c r="BC3" s="2">
        <f>30+23</f>
        <v>53</v>
      </c>
      <c r="BE3" s="14">
        <v>7</v>
      </c>
      <c r="BF3" s="2">
        <v>29</v>
      </c>
      <c r="BG3" s="2">
        <f>30+10</f>
        <v>40</v>
      </c>
      <c r="BH3" s="2">
        <f>30+19</f>
        <v>49</v>
      </c>
      <c r="BJ3" s="14">
        <v>10</v>
      </c>
      <c r="BK3" s="2">
        <v>21</v>
      </c>
      <c r="BL3" s="2">
        <f>30+5</f>
        <v>35</v>
      </c>
      <c r="BM3" s="2">
        <f>30+26</f>
        <v>56</v>
      </c>
      <c r="BO3" s="14">
        <v>6</v>
      </c>
      <c r="BP3" s="2">
        <v>25</v>
      </c>
      <c r="BQ3" s="2">
        <f>30+8</f>
        <v>38</v>
      </c>
      <c r="BR3" s="2">
        <f>30+20</f>
        <v>50</v>
      </c>
      <c r="BT3" s="14">
        <v>9</v>
      </c>
      <c r="BU3" s="2">
        <v>27</v>
      </c>
      <c r="BV3" s="2">
        <f>30+14</f>
        <v>44</v>
      </c>
      <c r="BW3" s="2">
        <f>30+28</f>
        <v>58</v>
      </c>
    </row>
    <row r="4" spans="1:80" x14ac:dyDescent="0.2">
      <c r="A4" s="3" t="s">
        <v>1</v>
      </c>
      <c r="B4" s="14">
        <f>30+9</f>
        <v>39</v>
      </c>
      <c r="C4" s="2">
        <f>30+21</f>
        <v>51</v>
      </c>
      <c r="D4" s="2">
        <v>7</v>
      </c>
      <c r="E4" s="2">
        <v>26</v>
      </c>
      <c r="G4" s="14">
        <f>30+2</f>
        <v>32</v>
      </c>
      <c r="H4" s="2">
        <f>30+17</f>
        <v>47</v>
      </c>
      <c r="I4" s="2">
        <v>2</v>
      </c>
      <c r="J4" s="2">
        <v>17</v>
      </c>
      <c r="L4" s="14">
        <f>30+10</f>
        <v>40</v>
      </c>
      <c r="M4" s="2">
        <f>30+26</f>
        <v>56</v>
      </c>
      <c r="N4" s="2">
        <v>4</v>
      </c>
      <c r="O4" s="2">
        <v>24</v>
      </c>
      <c r="Q4" s="14">
        <f>30+15</f>
        <v>45</v>
      </c>
      <c r="R4" s="2">
        <f>30+28</f>
        <v>58</v>
      </c>
      <c r="S4" s="2">
        <v>3</v>
      </c>
      <c r="T4" s="2">
        <v>20</v>
      </c>
      <c r="V4" s="14">
        <f>30+8</f>
        <v>38</v>
      </c>
      <c r="W4" s="2">
        <f>30+30</f>
        <v>60</v>
      </c>
      <c r="X4" s="2">
        <v>1</v>
      </c>
      <c r="Y4" s="2">
        <v>29</v>
      </c>
      <c r="AA4" s="14">
        <f>30+5</f>
        <v>35</v>
      </c>
      <c r="AB4" s="2">
        <f>30+22</f>
        <v>52</v>
      </c>
      <c r="AC4" s="2">
        <v>9</v>
      </c>
      <c r="AD4" s="2">
        <v>25</v>
      </c>
      <c r="AF4" s="14">
        <f>30+3</f>
        <v>33</v>
      </c>
      <c r="AG4" s="2">
        <f>30+25</f>
        <v>55</v>
      </c>
      <c r="AH4" s="2">
        <v>5</v>
      </c>
      <c r="AI4" s="2">
        <v>30</v>
      </c>
      <c r="AK4" s="14">
        <f>30+13</f>
        <v>43</v>
      </c>
      <c r="AL4" s="2">
        <f>30+19</f>
        <v>49</v>
      </c>
      <c r="AM4" s="2">
        <v>12</v>
      </c>
      <c r="AN4" s="2">
        <v>21</v>
      </c>
      <c r="AP4" s="14">
        <f>30+4</f>
        <v>34</v>
      </c>
      <c r="AQ4" s="2">
        <f>30+23</f>
        <v>53</v>
      </c>
      <c r="AR4" s="2">
        <v>14</v>
      </c>
      <c r="AS4" s="2">
        <v>27</v>
      </c>
      <c r="AU4" s="14">
        <f>30+7</f>
        <v>37</v>
      </c>
      <c r="AV4" s="2">
        <f>30+18</f>
        <v>48</v>
      </c>
      <c r="AW4" s="2">
        <v>15</v>
      </c>
      <c r="AX4" s="2">
        <v>19</v>
      </c>
      <c r="AZ4" s="14">
        <f>30+12</f>
        <v>42</v>
      </c>
      <c r="BA4" s="2">
        <f>30+16</f>
        <v>46</v>
      </c>
      <c r="BB4" s="2">
        <v>13</v>
      </c>
      <c r="BC4" s="2">
        <v>23</v>
      </c>
      <c r="BE4" s="14">
        <f>30+14</f>
        <v>44</v>
      </c>
      <c r="BF4" s="2">
        <f>30+24</f>
        <v>54</v>
      </c>
      <c r="BG4" s="2">
        <v>6</v>
      </c>
      <c r="BH4" s="2">
        <v>18</v>
      </c>
      <c r="BJ4" s="14">
        <f>30+11</f>
        <v>41</v>
      </c>
      <c r="BK4" s="2">
        <f>30+20</f>
        <v>50</v>
      </c>
      <c r="BL4" s="2">
        <v>8</v>
      </c>
      <c r="BM4" s="2">
        <v>16</v>
      </c>
      <c r="BO4" s="14">
        <f>30+6</f>
        <v>36</v>
      </c>
      <c r="BP4" s="2">
        <f>30+27</f>
        <v>57</v>
      </c>
      <c r="BQ4" s="2">
        <v>11</v>
      </c>
      <c r="BR4" s="2">
        <v>22</v>
      </c>
      <c r="BT4" s="14">
        <f>30+1</f>
        <v>31</v>
      </c>
      <c r="BU4" s="2">
        <f>30+29</f>
        <v>59</v>
      </c>
      <c r="BV4" s="2">
        <v>10</v>
      </c>
      <c r="BW4" s="2">
        <v>28</v>
      </c>
    </row>
    <row r="5" spans="1:80" x14ac:dyDescent="0.2">
      <c r="A5" s="3" t="s">
        <v>2</v>
      </c>
      <c r="B5" s="14">
        <v>23</v>
      </c>
      <c r="C5" s="2">
        <f>30+7</f>
        <v>37</v>
      </c>
      <c r="D5" s="2">
        <f>30+28</f>
        <v>58</v>
      </c>
      <c r="E5" s="2">
        <v>12</v>
      </c>
      <c r="G5" s="14">
        <v>27</v>
      </c>
      <c r="H5" s="2">
        <f>30+10</f>
        <v>40</v>
      </c>
      <c r="I5" s="2">
        <f>30+22</f>
        <v>52</v>
      </c>
      <c r="J5" s="2">
        <v>8</v>
      </c>
      <c r="L5" s="14">
        <v>18</v>
      </c>
      <c r="M5" s="2">
        <f>30+3</f>
        <v>33</v>
      </c>
      <c r="N5" s="2">
        <f>30+18</f>
        <v>48</v>
      </c>
      <c r="O5" s="2">
        <v>3</v>
      </c>
      <c r="Q5" s="14">
        <v>25</v>
      </c>
      <c r="R5" s="2">
        <f>30+11</f>
        <v>41</v>
      </c>
      <c r="S5" s="2">
        <f>30+27</f>
        <v>57</v>
      </c>
      <c r="T5" s="2">
        <v>5</v>
      </c>
      <c r="V5" s="14">
        <v>21</v>
      </c>
      <c r="W5" s="2">
        <f>30+15</f>
        <v>45</v>
      </c>
      <c r="X5" s="2">
        <f>30+29</f>
        <v>59</v>
      </c>
      <c r="Y5" s="2">
        <v>4</v>
      </c>
      <c r="AA5" s="14">
        <v>16</v>
      </c>
      <c r="AB5" s="2">
        <f>30+9</f>
        <v>39</v>
      </c>
      <c r="AC5" s="2">
        <f>30+30</f>
        <v>60</v>
      </c>
      <c r="AD5" s="2">
        <v>2</v>
      </c>
      <c r="AF5" s="14">
        <v>26</v>
      </c>
      <c r="AG5" s="2">
        <f>30+6</f>
        <v>36</v>
      </c>
      <c r="AH5" s="2">
        <f>30+23</f>
        <v>53</v>
      </c>
      <c r="AI5" s="2">
        <v>10</v>
      </c>
      <c r="AK5" s="14">
        <v>30</v>
      </c>
      <c r="AL5" s="2">
        <f>30+4</f>
        <v>34</v>
      </c>
      <c r="AM5" s="2">
        <f>30+26</f>
        <v>56</v>
      </c>
      <c r="AN5" s="2">
        <v>6</v>
      </c>
      <c r="AP5" s="14">
        <v>22</v>
      </c>
      <c r="AQ5" s="2">
        <f>30+14</f>
        <v>44</v>
      </c>
      <c r="AR5" s="2">
        <f>30+20</f>
        <v>50</v>
      </c>
      <c r="AS5" s="2">
        <v>13</v>
      </c>
      <c r="AU5" s="14">
        <v>28</v>
      </c>
      <c r="AV5" s="2">
        <f>30+5</f>
        <v>35</v>
      </c>
      <c r="AW5" s="2">
        <f>30+24</f>
        <v>54</v>
      </c>
      <c r="AX5" s="2">
        <v>1</v>
      </c>
      <c r="AZ5" s="14">
        <v>20</v>
      </c>
      <c r="BA5" s="2">
        <f>30+8</f>
        <v>38</v>
      </c>
      <c r="BB5" s="2">
        <f>30+19</f>
        <v>49</v>
      </c>
      <c r="BC5" s="2">
        <v>15</v>
      </c>
      <c r="BE5" s="14">
        <v>24</v>
      </c>
      <c r="BF5" s="2">
        <f>30+13</f>
        <v>43</v>
      </c>
      <c r="BG5" s="2">
        <f>30+17</f>
        <v>47</v>
      </c>
      <c r="BH5" s="2">
        <v>14</v>
      </c>
      <c r="BJ5" s="14">
        <v>19</v>
      </c>
      <c r="BK5" s="2">
        <f>30+1</f>
        <v>31</v>
      </c>
      <c r="BL5" s="2">
        <f>30+25</f>
        <v>55</v>
      </c>
      <c r="BM5" s="2">
        <v>7</v>
      </c>
      <c r="BO5" s="14">
        <v>17</v>
      </c>
      <c r="BP5" s="2">
        <f>30+12</f>
        <v>42</v>
      </c>
      <c r="BQ5" s="2">
        <f>30+21</f>
        <v>51</v>
      </c>
      <c r="BR5" s="2">
        <v>9</v>
      </c>
      <c r="BT5" s="14">
        <v>29</v>
      </c>
      <c r="BU5" s="2">
        <f>30+2</f>
        <v>32</v>
      </c>
      <c r="BV5" s="2">
        <f>30+16</f>
        <v>46</v>
      </c>
      <c r="BW5" s="2">
        <v>11</v>
      </c>
    </row>
    <row r="6" spans="1:80" x14ac:dyDescent="0.2">
      <c r="A6" s="3" t="s">
        <v>3</v>
      </c>
      <c r="B6" s="14">
        <f>30+22</f>
        <v>52</v>
      </c>
      <c r="C6" s="2">
        <v>10</v>
      </c>
      <c r="D6" s="2">
        <v>18</v>
      </c>
      <c r="E6" s="2">
        <f>30+13</f>
        <v>43</v>
      </c>
      <c r="G6" s="14">
        <f>30+29</f>
        <v>59</v>
      </c>
      <c r="H6" s="2">
        <v>13</v>
      </c>
      <c r="I6" s="2">
        <v>24</v>
      </c>
      <c r="J6" s="2">
        <f>30+8</f>
        <v>38</v>
      </c>
      <c r="L6" s="14">
        <f>30+23</f>
        <v>53</v>
      </c>
      <c r="M6" s="2">
        <v>9</v>
      </c>
      <c r="N6" s="2">
        <v>28</v>
      </c>
      <c r="O6" s="2">
        <f>30+11</f>
        <v>41</v>
      </c>
      <c r="Q6" s="14">
        <f>30+19</f>
        <v>49</v>
      </c>
      <c r="R6" s="2">
        <v>4</v>
      </c>
      <c r="S6" s="2">
        <v>19</v>
      </c>
      <c r="T6" s="2">
        <f>30+4</f>
        <v>34</v>
      </c>
      <c r="V6" s="14">
        <f>30+28</f>
        <v>58</v>
      </c>
      <c r="W6" s="2">
        <v>6</v>
      </c>
      <c r="X6" s="2">
        <v>26</v>
      </c>
      <c r="Y6" s="2">
        <f>30+12</f>
        <v>42</v>
      </c>
      <c r="AA6" s="14">
        <f>30+16</f>
        <v>46</v>
      </c>
      <c r="AB6" s="2">
        <v>5</v>
      </c>
      <c r="AC6" s="2">
        <v>22</v>
      </c>
      <c r="AD6" s="2">
        <f>30+15</f>
        <v>45</v>
      </c>
      <c r="AF6" s="14">
        <f>30+30</f>
        <v>60</v>
      </c>
      <c r="AG6" s="2">
        <v>3</v>
      </c>
      <c r="AH6" s="2">
        <v>17</v>
      </c>
      <c r="AI6" s="2">
        <f>30+10</f>
        <v>40</v>
      </c>
      <c r="AK6" s="14">
        <f>30+24</f>
        <v>54</v>
      </c>
      <c r="AL6" s="2">
        <v>11</v>
      </c>
      <c r="AM6" s="2">
        <v>27</v>
      </c>
      <c r="AN6" s="2">
        <f>30+7</f>
        <v>37</v>
      </c>
      <c r="AP6" s="14">
        <f>30+27</f>
        <v>57</v>
      </c>
      <c r="AQ6" s="2">
        <v>7</v>
      </c>
      <c r="AR6" s="2">
        <v>30</v>
      </c>
      <c r="AS6" s="2">
        <f>30+5</f>
        <v>35</v>
      </c>
      <c r="AU6" s="14">
        <f>30+21</f>
        <v>51</v>
      </c>
      <c r="AV6" s="2">
        <v>14</v>
      </c>
      <c r="AW6" s="2">
        <v>23</v>
      </c>
      <c r="AX6" s="2">
        <f>30+1</f>
        <v>31</v>
      </c>
      <c r="AZ6" s="14">
        <f>30+25</f>
        <v>55</v>
      </c>
      <c r="BA6" s="2">
        <v>2</v>
      </c>
      <c r="BB6" s="2">
        <v>29</v>
      </c>
      <c r="BC6" s="2">
        <f>30+6</f>
        <v>36</v>
      </c>
      <c r="BE6" s="14">
        <f>30+20</f>
        <v>50</v>
      </c>
      <c r="BF6" s="2">
        <v>15</v>
      </c>
      <c r="BG6" s="2">
        <v>21</v>
      </c>
      <c r="BH6" s="2">
        <f>30+9</f>
        <v>39</v>
      </c>
      <c r="BJ6" s="14">
        <f>30+18</f>
        <v>48</v>
      </c>
      <c r="BK6" s="2">
        <v>1</v>
      </c>
      <c r="BL6" s="2">
        <v>25</v>
      </c>
      <c r="BM6" s="2">
        <f>30+14</f>
        <v>44</v>
      </c>
      <c r="BO6" s="14">
        <f>30+26</f>
        <v>56</v>
      </c>
      <c r="BP6" s="2">
        <v>8</v>
      </c>
      <c r="BQ6" s="2">
        <v>20</v>
      </c>
      <c r="BR6" s="2">
        <f>30+2</f>
        <v>32</v>
      </c>
      <c r="BT6" s="14">
        <f>30+17</f>
        <v>47</v>
      </c>
      <c r="BU6" s="2">
        <v>12</v>
      </c>
      <c r="BV6" s="2">
        <v>16</v>
      </c>
      <c r="BW6" s="2">
        <f>30+3</f>
        <v>33</v>
      </c>
    </row>
    <row r="7" spans="1:80" x14ac:dyDescent="0.2">
      <c r="A7" s="3" t="s">
        <v>4</v>
      </c>
      <c r="B7" s="14">
        <v>9</v>
      </c>
      <c r="C7" s="2">
        <v>21</v>
      </c>
      <c r="D7" s="2">
        <f>30+3</f>
        <v>33</v>
      </c>
      <c r="E7" s="2">
        <f>30+27</f>
        <v>57</v>
      </c>
      <c r="G7" s="14">
        <v>11</v>
      </c>
      <c r="H7" s="2">
        <v>19</v>
      </c>
      <c r="I7" s="2">
        <f>30+14</f>
        <v>44</v>
      </c>
      <c r="J7" s="2">
        <f>30+23</f>
        <v>53</v>
      </c>
      <c r="L7" s="14">
        <v>14</v>
      </c>
      <c r="M7" s="2">
        <v>25</v>
      </c>
      <c r="N7" s="2">
        <f>30+9</f>
        <v>39</v>
      </c>
      <c r="O7" s="2">
        <f>30+16</f>
        <v>46</v>
      </c>
      <c r="Q7" s="14">
        <v>10</v>
      </c>
      <c r="R7" s="2">
        <v>29</v>
      </c>
      <c r="S7" s="2">
        <f>30+12</f>
        <v>42</v>
      </c>
      <c r="T7" s="2">
        <f>30+24</f>
        <v>54</v>
      </c>
      <c r="V7" s="14">
        <v>5</v>
      </c>
      <c r="W7" s="2">
        <v>20</v>
      </c>
      <c r="X7" s="2">
        <f>30+5</f>
        <v>35</v>
      </c>
      <c r="Y7" s="2">
        <f>30+20</f>
        <v>50</v>
      </c>
      <c r="AA7" s="14">
        <v>7</v>
      </c>
      <c r="AB7" s="2">
        <v>27</v>
      </c>
      <c r="AC7" s="2">
        <f>30+13</f>
        <v>43</v>
      </c>
      <c r="AD7" s="2">
        <f>30+29</f>
        <v>59</v>
      </c>
      <c r="AF7" s="14">
        <v>6</v>
      </c>
      <c r="AG7" s="2">
        <v>23</v>
      </c>
      <c r="AH7" s="2">
        <f>30+15</f>
        <v>45</v>
      </c>
      <c r="AI7" s="2">
        <f>30+17</f>
        <v>47</v>
      </c>
      <c r="AK7" s="14">
        <v>4</v>
      </c>
      <c r="AL7" s="2">
        <v>18</v>
      </c>
      <c r="AM7" s="2">
        <f>30+11</f>
        <v>41</v>
      </c>
      <c r="AN7" s="2">
        <f>30+30</f>
        <v>60</v>
      </c>
      <c r="AP7" s="14">
        <v>12</v>
      </c>
      <c r="AQ7" s="2">
        <v>28</v>
      </c>
      <c r="AR7" s="2">
        <f>30+8</f>
        <v>38</v>
      </c>
      <c r="AS7" s="2">
        <f>30+25</f>
        <v>55</v>
      </c>
      <c r="AU7" s="14">
        <v>8</v>
      </c>
      <c r="AV7" s="2">
        <v>30</v>
      </c>
      <c r="AW7" s="2">
        <f>30+6</f>
        <v>36</v>
      </c>
      <c r="AX7" s="2">
        <f>30+28</f>
        <v>58</v>
      </c>
      <c r="AZ7" s="14">
        <v>1</v>
      </c>
      <c r="BA7" s="2">
        <v>24</v>
      </c>
      <c r="BB7" s="2">
        <f>30+2</f>
        <v>32</v>
      </c>
      <c r="BC7" s="2">
        <f>30+22</f>
        <v>52</v>
      </c>
      <c r="BE7" s="14">
        <v>3</v>
      </c>
      <c r="BF7" s="2">
        <v>16</v>
      </c>
      <c r="BG7" s="2">
        <f>30+7</f>
        <v>37</v>
      </c>
      <c r="BH7" s="2">
        <f>30+26</f>
        <v>56</v>
      </c>
      <c r="BJ7" s="14">
        <v>15</v>
      </c>
      <c r="BK7" s="2">
        <v>22</v>
      </c>
      <c r="BL7" s="2">
        <f>30+10</f>
        <v>40</v>
      </c>
      <c r="BM7" s="2">
        <f>30+21</f>
        <v>51</v>
      </c>
      <c r="BO7" s="14">
        <v>2</v>
      </c>
      <c r="BP7" s="2">
        <v>26</v>
      </c>
      <c r="BQ7" s="2">
        <f>30+1</f>
        <v>31</v>
      </c>
      <c r="BR7" s="2">
        <f>30+19</f>
        <v>49</v>
      </c>
      <c r="BT7" s="14">
        <v>13</v>
      </c>
      <c r="BU7" s="2">
        <v>17</v>
      </c>
      <c r="BV7" s="2">
        <f>30+4</f>
        <v>34</v>
      </c>
      <c r="BW7" s="2">
        <f>30+18</f>
        <v>48</v>
      </c>
    </row>
    <row r="8" spans="1:80" x14ac:dyDescent="0.2">
      <c r="A8" s="3" t="s">
        <v>5</v>
      </c>
      <c r="B8" s="14">
        <f>30+2</f>
        <v>32</v>
      </c>
      <c r="C8" s="2">
        <f>30+20</f>
        <v>50</v>
      </c>
      <c r="D8" s="2">
        <v>3</v>
      </c>
      <c r="E8" s="2">
        <v>27</v>
      </c>
      <c r="G8" s="14">
        <f>30+4</f>
        <v>34</v>
      </c>
      <c r="H8" s="2">
        <f>30+28</f>
        <v>58</v>
      </c>
      <c r="I8" s="2">
        <v>10</v>
      </c>
      <c r="J8" s="2">
        <v>22</v>
      </c>
      <c r="L8" s="14">
        <f>30+1</f>
        <v>31</v>
      </c>
      <c r="M8" s="2">
        <f>30+24</f>
        <v>54</v>
      </c>
      <c r="N8" s="2">
        <v>12</v>
      </c>
      <c r="O8" s="2">
        <v>20</v>
      </c>
      <c r="Q8" s="14">
        <f>30+10</f>
        <v>40</v>
      </c>
      <c r="R8" s="2">
        <f>30+17</f>
        <v>47</v>
      </c>
      <c r="S8" s="2">
        <v>1</v>
      </c>
      <c r="T8" s="2">
        <v>26</v>
      </c>
      <c r="V8" s="14">
        <f>30+13</f>
        <v>43</v>
      </c>
      <c r="W8" s="2">
        <f>30+25</f>
        <v>55</v>
      </c>
      <c r="X8" s="2">
        <v>11</v>
      </c>
      <c r="Y8" s="2">
        <v>16</v>
      </c>
      <c r="AA8" s="14">
        <f>30+6</f>
        <v>36</v>
      </c>
      <c r="AB8" s="2">
        <f>30+21</f>
        <v>51</v>
      </c>
      <c r="AC8" s="2">
        <v>6</v>
      </c>
      <c r="AD8" s="2">
        <v>21</v>
      </c>
      <c r="AF8" s="14">
        <f>30+14</f>
        <v>44</v>
      </c>
      <c r="AG8" s="2">
        <f>30+16</f>
        <v>46</v>
      </c>
      <c r="AH8" s="2">
        <v>8</v>
      </c>
      <c r="AI8" s="2">
        <v>28</v>
      </c>
      <c r="AK8" s="14">
        <f>30+15</f>
        <v>45</v>
      </c>
      <c r="AL8" s="2">
        <f>30+18</f>
        <v>48</v>
      </c>
      <c r="AM8" s="2">
        <v>7</v>
      </c>
      <c r="AN8" s="2">
        <v>24</v>
      </c>
      <c r="AP8" s="14">
        <f>30+12</f>
        <v>42</v>
      </c>
      <c r="AQ8" s="2">
        <f>30+30</f>
        <v>60</v>
      </c>
      <c r="AR8" s="2">
        <v>5</v>
      </c>
      <c r="AS8" s="2">
        <v>19</v>
      </c>
      <c r="AU8" s="14">
        <f>30+9</f>
        <v>39</v>
      </c>
      <c r="AV8" s="2">
        <f>30+26</f>
        <v>56</v>
      </c>
      <c r="AW8" s="2">
        <v>13</v>
      </c>
      <c r="AX8" s="2">
        <v>29</v>
      </c>
      <c r="AZ8" s="14">
        <f>30+7</f>
        <v>37</v>
      </c>
      <c r="BA8" s="2">
        <f>30+29</f>
        <v>59</v>
      </c>
      <c r="BB8" s="2">
        <v>9</v>
      </c>
      <c r="BC8" s="2">
        <v>30</v>
      </c>
      <c r="BE8" s="14">
        <f>30+3</f>
        <v>33</v>
      </c>
      <c r="BF8" s="2">
        <f>30+23</f>
        <v>53</v>
      </c>
      <c r="BG8" s="2">
        <v>2</v>
      </c>
      <c r="BH8" s="2">
        <v>25</v>
      </c>
      <c r="BJ8" s="14">
        <f>30+8</f>
        <v>38</v>
      </c>
      <c r="BK8" s="2">
        <f>30+27</f>
        <v>57</v>
      </c>
      <c r="BL8" s="2">
        <v>4</v>
      </c>
      <c r="BM8" s="2">
        <v>17</v>
      </c>
      <c r="BO8" s="14">
        <f>30+11</f>
        <v>41</v>
      </c>
      <c r="BP8" s="2">
        <f>30+22</f>
        <v>52</v>
      </c>
      <c r="BQ8" s="2">
        <v>15</v>
      </c>
      <c r="BR8" s="2">
        <v>23</v>
      </c>
      <c r="BT8" s="14">
        <f>30+5</f>
        <v>35</v>
      </c>
      <c r="BU8" s="2">
        <f>30+19</f>
        <v>49</v>
      </c>
      <c r="BV8" s="2">
        <v>14</v>
      </c>
      <c r="BW8" s="2">
        <v>18</v>
      </c>
    </row>
    <row r="9" spans="1:80" x14ac:dyDescent="0.2">
      <c r="A9" s="3" t="s">
        <v>6</v>
      </c>
      <c r="B9" s="14">
        <v>24</v>
      </c>
      <c r="C9" s="2">
        <f>30+12</f>
        <v>42</v>
      </c>
      <c r="D9" s="2">
        <f>30+23</f>
        <v>53</v>
      </c>
      <c r="E9" s="2">
        <v>15</v>
      </c>
      <c r="G9" s="14">
        <v>28</v>
      </c>
      <c r="H9" s="2">
        <f>30+3</f>
        <v>33</v>
      </c>
      <c r="I9" s="2">
        <f>30+21</f>
        <v>51</v>
      </c>
      <c r="J9" s="2">
        <v>4</v>
      </c>
      <c r="L9" s="14">
        <v>23</v>
      </c>
      <c r="M9" s="2">
        <f>30+5</f>
        <v>35</v>
      </c>
      <c r="N9" s="2">
        <f>30+29</f>
        <v>59</v>
      </c>
      <c r="O9" s="2">
        <v>11</v>
      </c>
      <c r="Q9" s="14">
        <v>21</v>
      </c>
      <c r="R9" s="2">
        <f>30+2</f>
        <v>32</v>
      </c>
      <c r="S9" s="2">
        <f>30+25</f>
        <v>55</v>
      </c>
      <c r="T9" s="2">
        <v>13</v>
      </c>
      <c r="V9" s="14">
        <v>27</v>
      </c>
      <c r="W9" s="2">
        <f>30+11</f>
        <v>41</v>
      </c>
      <c r="X9" s="2">
        <f>30+18</f>
        <v>48</v>
      </c>
      <c r="Y9" s="2">
        <v>2</v>
      </c>
      <c r="AA9" s="14">
        <v>17</v>
      </c>
      <c r="AB9" s="2">
        <f>30+14</f>
        <v>44</v>
      </c>
      <c r="AC9" s="2">
        <f>30+26</f>
        <v>56</v>
      </c>
      <c r="AD9" s="2">
        <v>12</v>
      </c>
      <c r="AF9" s="14">
        <v>22</v>
      </c>
      <c r="AG9" s="2">
        <f>30+7</f>
        <v>37</v>
      </c>
      <c r="AH9" s="2">
        <f>30+22</f>
        <v>52</v>
      </c>
      <c r="AI9" s="2">
        <v>7</v>
      </c>
      <c r="AK9" s="14">
        <v>29</v>
      </c>
      <c r="AL9" s="2">
        <f>30+1</f>
        <v>31</v>
      </c>
      <c r="AM9" s="2">
        <f>30+17</f>
        <v>47</v>
      </c>
      <c r="AN9" s="2">
        <v>9</v>
      </c>
      <c r="AP9" s="14">
        <v>25</v>
      </c>
      <c r="AQ9" s="2">
        <f>30+15</f>
        <v>45</v>
      </c>
      <c r="AR9" s="2">
        <f>30+19</f>
        <v>49</v>
      </c>
      <c r="AS9" s="2">
        <v>8</v>
      </c>
      <c r="AU9" s="14">
        <v>20</v>
      </c>
      <c r="AV9" s="2">
        <f>30+13</f>
        <v>43</v>
      </c>
      <c r="AW9" s="2">
        <f>30+30</f>
        <v>60</v>
      </c>
      <c r="AX9" s="2">
        <v>6</v>
      </c>
      <c r="AZ9" s="14">
        <v>16</v>
      </c>
      <c r="BA9" s="2">
        <f>30+10</f>
        <v>40</v>
      </c>
      <c r="BB9" s="2">
        <f>30+27</f>
        <v>57</v>
      </c>
      <c r="BC9" s="2">
        <v>14</v>
      </c>
      <c r="BE9" s="14">
        <v>30</v>
      </c>
      <c r="BF9" s="2">
        <f>30+8</f>
        <v>38</v>
      </c>
      <c r="BG9" s="2">
        <f>30+16</f>
        <v>46</v>
      </c>
      <c r="BH9" s="2">
        <v>10</v>
      </c>
      <c r="BJ9" s="14">
        <v>26</v>
      </c>
      <c r="BK9" s="2">
        <f>30+4</f>
        <v>34</v>
      </c>
      <c r="BL9" s="2">
        <f>30+24</f>
        <v>54</v>
      </c>
      <c r="BM9" s="2">
        <v>3</v>
      </c>
      <c r="BO9" s="14">
        <v>18</v>
      </c>
      <c r="BP9" s="2">
        <f>30+9</f>
        <v>39</v>
      </c>
      <c r="BQ9" s="2">
        <f>30+28</f>
        <v>58</v>
      </c>
      <c r="BR9" s="2">
        <v>5</v>
      </c>
      <c r="BT9" s="14">
        <v>19</v>
      </c>
      <c r="BU9" s="2">
        <f>30+6</f>
        <v>36</v>
      </c>
      <c r="BV9" s="2">
        <f>30+20</f>
        <v>50</v>
      </c>
      <c r="BW9" s="2">
        <v>1</v>
      </c>
    </row>
    <row r="10" spans="1:80" x14ac:dyDescent="0.2">
      <c r="A10" s="3"/>
    </row>
    <row r="11" spans="1:80" x14ac:dyDescent="0.2">
      <c r="A11" s="3"/>
    </row>
    <row r="12" spans="1:80" x14ac:dyDescent="0.2">
      <c r="A12" s="3"/>
      <c r="BY12" s="15"/>
      <c r="BZ12" s="15"/>
      <c r="CA12" s="15"/>
      <c r="CB12" s="15"/>
    </row>
    <row r="13" spans="1:80" ht="15" x14ac:dyDescent="0.25">
      <c r="A13" s="1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</row>
    <row r="14" spans="1:80" ht="15" x14ac:dyDescent="0.25">
      <c r="A14" s="1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</row>
    <row r="15" spans="1:80" ht="15" x14ac:dyDescent="0.25">
      <c r="A15" s="1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</row>
    <row r="16" spans="1:80" ht="15" x14ac:dyDescent="0.25">
      <c r="A16" s="1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</row>
    <row r="17" spans="1:80" ht="15" x14ac:dyDescent="0.25">
      <c r="A17" s="1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</row>
    <row r="18" spans="1:80" ht="15" x14ac:dyDescent="0.25">
      <c r="A18" s="1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</row>
    <row r="19" spans="1:80" ht="15" x14ac:dyDescent="0.25">
      <c r="A19" s="1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</row>
    <row r="20" spans="1:80" ht="15" x14ac:dyDescent="0.25">
      <c r="A20" s="1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</row>
    <row r="21" spans="1:80" ht="15" x14ac:dyDescent="0.25">
      <c r="A21" s="1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</row>
    <row r="22" spans="1:80" ht="15" x14ac:dyDescent="0.25">
      <c r="A22" s="1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</row>
    <row r="23" spans="1:80" ht="15" x14ac:dyDescent="0.25">
      <c r="A23" s="1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</row>
    <row r="24" spans="1:80" ht="15" x14ac:dyDescent="0.25">
      <c r="A24" s="1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</row>
    <row r="25" spans="1:80" ht="15" x14ac:dyDescent="0.25">
      <c r="A25" s="1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</row>
    <row r="26" spans="1:80" ht="15" x14ac:dyDescent="0.25">
      <c r="A26" s="1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</row>
    <row r="27" spans="1:80" ht="15" x14ac:dyDescent="0.25">
      <c r="A27" s="1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</row>
    <row r="28" spans="1:80" ht="15" x14ac:dyDescent="0.25">
      <c r="A28" s="1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</row>
    <row r="29" spans="1:80" ht="15" x14ac:dyDescent="0.25">
      <c r="A29" s="1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</row>
    <row r="30" spans="1:80" ht="15" x14ac:dyDescent="0.25">
      <c r="A30" s="1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</row>
    <row r="31" spans="1:80" ht="15" x14ac:dyDescent="0.25">
      <c r="A31" s="1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</row>
    <row r="32" spans="1:80" ht="15" x14ac:dyDescent="0.25">
      <c r="A32" s="1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</row>
    <row r="33" spans="1:80" ht="15" x14ac:dyDescent="0.25">
      <c r="A33" s="1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</row>
    <row r="34" spans="1:80" ht="15" x14ac:dyDescent="0.25">
      <c r="A34" s="1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</row>
    <row r="35" spans="1:80" ht="15" x14ac:dyDescent="0.25">
      <c r="A35" s="1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</row>
    <row r="36" spans="1:80" ht="15" x14ac:dyDescent="0.25">
      <c r="A36" s="1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</row>
    <row r="37" spans="1:80" ht="15" x14ac:dyDescent="0.25">
      <c r="A37" s="1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</row>
    <row r="38" spans="1:80" ht="15" x14ac:dyDescent="0.25">
      <c r="A38" s="1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</row>
    <row r="39" spans="1:80" ht="15" x14ac:dyDescent="0.25">
      <c r="A39" s="1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</row>
    <row r="40" spans="1:80" ht="15" x14ac:dyDescent="0.25">
      <c r="A40" s="1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</row>
    <row r="41" spans="1:80" ht="15" x14ac:dyDescent="0.25">
      <c r="A41" s="1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</row>
    <row r="42" spans="1:80" ht="15" x14ac:dyDescent="0.25">
      <c r="A42" s="1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</row>
    <row r="43" spans="1:80" ht="15" x14ac:dyDescent="0.25">
      <c r="A43" s="1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</row>
    <row r="44" spans="1:80" ht="15" x14ac:dyDescent="0.25">
      <c r="A44" s="1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</row>
    <row r="45" spans="1:80" ht="15" x14ac:dyDescent="0.25">
      <c r="A45" s="1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</row>
    <row r="46" spans="1:80" ht="15" x14ac:dyDescent="0.25">
      <c r="A46" s="1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</row>
    <row r="47" spans="1:80" ht="15" x14ac:dyDescent="0.25">
      <c r="A47" s="1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</row>
    <row r="48" spans="1:80" ht="15" x14ac:dyDescent="0.25">
      <c r="A48" s="1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</row>
    <row r="49" spans="1:80" ht="15" x14ac:dyDescent="0.25">
      <c r="A49" s="1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</row>
    <row r="50" spans="1:80" ht="15" x14ac:dyDescent="0.25">
      <c r="A50" s="1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</row>
    <row r="51" spans="1:80" ht="15" x14ac:dyDescent="0.25">
      <c r="A51" s="1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</row>
    <row r="52" spans="1:80" ht="15" x14ac:dyDescent="0.25">
      <c r="A52" s="1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</row>
    <row r="53" spans="1:80" ht="15" x14ac:dyDescent="0.25">
      <c r="A53" s="1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</row>
    <row r="54" spans="1:80" ht="15" x14ac:dyDescent="0.25">
      <c r="A54" s="1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</row>
    <row r="55" spans="1:80" ht="15" x14ac:dyDescent="0.25">
      <c r="A55" s="1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</row>
    <row r="56" spans="1:80" ht="15" x14ac:dyDescent="0.25">
      <c r="A56" s="1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</row>
    <row r="57" spans="1:80" ht="15" x14ac:dyDescent="0.25">
      <c r="A57" s="1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</row>
    <row r="58" spans="1:80" ht="15" x14ac:dyDescent="0.25">
      <c r="A58" s="1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</row>
    <row r="59" spans="1:80" ht="15" x14ac:dyDescent="0.25">
      <c r="A59" s="1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</row>
    <row r="60" spans="1:80" ht="15" x14ac:dyDescent="0.25">
      <c r="A60" s="1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</row>
    <row r="61" spans="1:80" ht="15" x14ac:dyDescent="0.25">
      <c r="A61" s="1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</row>
    <row r="62" spans="1:80" ht="15" x14ac:dyDescent="0.25">
      <c r="A62" s="1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</row>
    <row r="63" spans="1:80" ht="15" x14ac:dyDescent="0.25">
      <c r="A63" s="1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</row>
    <row r="64" spans="1:80" ht="15" x14ac:dyDescent="0.25">
      <c r="A64" s="1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</row>
    <row r="65" spans="1:80" ht="15" x14ac:dyDescent="0.25">
      <c r="A65" s="1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</row>
    <row r="66" spans="1:80" ht="15" x14ac:dyDescent="0.25">
      <c r="A66" s="1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</row>
    <row r="67" spans="1:80" ht="15" x14ac:dyDescent="0.25">
      <c r="A67" s="1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</row>
    <row r="68" spans="1:80" ht="15" x14ac:dyDescent="0.25">
      <c r="A68" s="1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</row>
    <row r="69" spans="1:80" ht="15" x14ac:dyDescent="0.25">
      <c r="A69" s="1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</row>
    <row r="70" spans="1:80" ht="15" x14ac:dyDescent="0.25">
      <c r="A70" s="1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</row>
    <row r="71" spans="1:80" ht="15" x14ac:dyDescent="0.25">
      <c r="A71" s="1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</row>
    <row r="72" spans="1:80" ht="15" x14ac:dyDescent="0.25">
      <c r="A72" s="1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</row>
  </sheetData>
  <mergeCells count="15">
    <mergeCell ref="AA1:AD1"/>
    <mergeCell ref="B1:E1"/>
    <mergeCell ref="G1:J1"/>
    <mergeCell ref="L1:O1"/>
    <mergeCell ref="Q1:T1"/>
    <mergeCell ref="V1:Y1"/>
    <mergeCell ref="BJ1:BM1"/>
    <mergeCell ref="BO1:BR1"/>
    <mergeCell ref="BT1:BW1"/>
    <mergeCell ref="AF1:AI1"/>
    <mergeCell ref="AK1:AN1"/>
    <mergeCell ref="AP1:AS1"/>
    <mergeCell ref="AU1:AX1"/>
    <mergeCell ref="AZ1:BC1"/>
    <mergeCell ref="BE1:B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CG76"/>
  <sheetViews>
    <sheetView zoomScale="80" zoomScaleNormal="80" workbookViewId="0">
      <selection activeCell="B1" sqref="B1:E1"/>
    </sheetView>
  </sheetViews>
  <sheetFormatPr defaultColWidth="9.140625" defaultRowHeight="12.75" x14ac:dyDescent="0.2"/>
  <cols>
    <col min="1" max="1" width="9.140625" style="2"/>
    <col min="2" max="5" width="4" style="2" bestFit="1" customWidth="1"/>
    <col min="6" max="6" width="4" style="2" customWidth="1"/>
    <col min="7" max="10" width="4" style="2" bestFit="1" customWidth="1"/>
    <col min="11" max="11" width="4" style="2" customWidth="1"/>
    <col min="12" max="15" width="4" style="2" bestFit="1" customWidth="1"/>
    <col min="16" max="16" width="4" style="2" customWidth="1"/>
    <col min="17" max="20" width="4" style="2" bestFit="1" customWidth="1"/>
    <col min="21" max="21" width="4" style="2" customWidth="1"/>
    <col min="22" max="25" width="4" style="2" bestFit="1" customWidth="1"/>
    <col min="26" max="26" width="4" style="2" customWidth="1"/>
    <col min="27" max="30" width="4" style="2" bestFit="1" customWidth="1"/>
    <col min="31" max="31" width="4" style="2" customWidth="1"/>
    <col min="32" max="35" width="4" style="2" bestFit="1" customWidth="1"/>
    <col min="36" max="36" width="4" style="2" customWidth="1"/>
    <col min="37" max="40" width="4" style="2" bestFit="1" customWidth="1"/>
    <col min="41" max="41" width="4" style="2" customWidth="1"/>
    <col min="42" max="45" width="4" style="2" bestFit="1" customWidth="1"/>
    <col min="46" max="46" width="4" style="2" customWidth="1"/>
    <col min="47" max="50" width="4" style="2" bestFit="1" customWidth="1"/>
    <col min="51" max="51" width="4" style="2" customWidth="1"/>
    <col min="52" max="55" width="4" style="2" bestFit="1" customWidth="1"/>
    <col min="56" max="56" width="4" style="2" customWidth="1"/>
    <col min="57" max="60" width="4" style="2" bestFit="1" customWidth="1"/>
    <col min="61" max="61" width="4" style="2" customWidth="1"/>
    <col min="62" max="65" width="4" style="2" bestFit="1" customWidth="1"/>
    <col min="66" max="66" width="4" style="2" customWidth="1"/>
    <col min="67" max="70" width="4" style="2" bestFit="1" customWidth="1"/>
    <col min="71" max="71" width="4" style="2" customWidth="1"/>
    <col min="72" max="75" width="4" style="2" bestFit="1" customWidth="1"/>
    <col min="76" max="76" width="4" style="2" customWidth="1"/>
    <col min="77" max="80" width="4" style="2" bestFit="1" customWidth="1"/>
    <col min="81" max="81" width="4.28515625" style="2" customWidth="1"/>
    <col min="82" max="16384" width="9.140625" style="2"/>
  </cols>
  <sheetData>
    <row r="1" spans="1:85" s="1" customFormat="1" x14ac:dyDescent="0.2">
      <c r="B1" s="18" t="s">
        <v>7</v>
      </c>
      <c r="C1" s="18"/>
      <c r="D1" s="18"/>
      <c r="E1" s="18"/>
      <c r="G1" s="18" t="s">
        <v>8</v>
      </c>
      <c r="H1" s="18"/>
      <c r="I1" s="18"/>
      <c r="J1" s="18"/>
      <c r="L1" s="18" t="s">
        <v>9</v>
      </c>
      <c r="M1" s="18"/>
      <c r="N1" s="18"/>
      <c r="O1" s="18"/>
      <c r="Q1" s="18" t="s">
        <v>10</v>
      </c>
      <c r="R1" s="18"/>
      <c r="S1" s="18"/>
      <c r="T1" s="18"/>
      <c r="V1" s="18" t="s">
        <v>11</v>
      </c>
      <c r="W1" s="18"/>
      <c r="X1" s="18"/>
      <c r="Y1" s="18"/>
      <c r="AA1" s="18" t="s">
        <v>12</v>
      </c>
      <c r="AB1" s="18"/>
      <c r="AC1" s="18"/>
      <c r="AD1" s="18"/>
      <c r="AF1" s="18" t="s">
        <v>13</v>
      </c>
      <c r="AG1" s="18"/>
      <c r="AH1" s="18"/>
      <c r="AI1" s="18"/>
      <c r="AK1" s="18" t="s">
        <v>14</v>
      </c>
      <c r="AL1" s="18"/>
      <c r="AM1" s="18"/>
      <c r="AN1" s="18"/>
      <c r="AP1" s="18" t="s">
        <v>15</v>
      </c>
      <c r="AQ1" s="18"/>
      <c r="AR1" s="18"/>
      <c r="AS1" s="18"/>
      <c r="AU1" s="18" t="s">
        <v>16</v>
      </c>
      <c r="AV1" s="18"/>
      <c r="AW1" s="18"/>
      <c r="AX1" s="18"/>
      <c r="AZ1" s="18" t="s">
        <v>17</v>
      </c>
      <c r="BA1" s="18"/>
      <c r="BB1" s="18"/>
      <c r="BC1" s="18"/>
      <c r="BE1" s="18" t="s">
        <v>18</v>
      </c>
      <c r="BF1" s="18"/>
      <c r="BG1" s="18"/>
      <c r="BH1" s="18"/>
      <c r="BJ1" s="18" t="s">
        <v>19</v>
      </c>
      <c r="BK1" s="18"/>
      <c r="BL1" s="18"/>
      <c r="BM1" s="18"/>
      <c r="BO1" s="18" t="s">
        <v>20</v>
      </c>
      <c r="BP1" s="18"/>
      <c r="BQ1" s="18"/>
      <c r="BR1" s="18"/>
      <c r="BT1" s="18" t="s">
        <v>21</v>
      </c>
      <c r="BU1" s="18"/>
      <c r="BV1" s="18"/>
      <c r="BW1" s="18"/>
      <c r="BY1" s="18" t="s">
        <v>22</v>
      </c>
      <c r="BZ1" s="18"/>
      <c r="CA1" s="18"/>
      <c r="CB1" s="18"/>
    </row>
    <row r="2" spans="1:85" s="8" customFormat="1" x14ac:dyDescent="0.2">
      <c r="B2" s="8" t="s">
        <v>25</v>
      </c>
      <c r="C2" s="8" t="s">
        <v>26</v>
      </c>
      <c r="D2" s="8" t="s">
        <v>27</v>
      </c>
      <c r="E2" s="8" t="s">
        <v>28</v>
      </c>
      <c r="G2" s="8" t="s">
        <v>25</v>
      </c>
      <c r="H2" s="8" t="s">
        <v>26</v>
      </c>
      <c r="I2" s="8" t="s">
        <v>27</v>
      </c>
      <c r="J2" s="8" t="s">
        <v>28</v>
      </c>
      <c r="L2" s="8" t="s">
        <v>25</v>
      </c>
      <c r="M2" s="8" t="s">
        <v>26</v>
      </c>
      <c r="N2" s="8" t="s">
        <v>27</v>
      </c>
      <c r="O2" s="8" t="s">
        <v>28</v>
      </c>
      <c r="Q2" s="8" t="s">
        <v>25</v>
      </c>
      <c r="R2" s="8" t="s">
        <v>26</v>
      </c>
      <c r="S2" s="8" t="s">
        <v>27</v>
      </c>
      <c r="T2" s="8" t="s">
        <v>28</v>
      </c>
      <c r="V2" s="8" t="s">
        <v>25</v>
      </c>
      <c r="W2" s="8" t="s">
        <v>26</v>
      </c>
      <c r="X2" s="8" t="s">
        <v>27</v>
      </c>
      <c r="Y2" s="8" t="s">
        <v>28</v>
      </c>
      <c r="AA2" s="8" t="s">
        <v>25</v>
      </c>
      <c r="AB2" s="8" t="s">
        <v>26</v>
      </c>
      <c r="AC2" s="8" t="s">
        <v>27</v>
      </c>
      <c r="AD2" s="8" t="s">
        <v>28</v>
      </c>
      <c r="AF2" s="8" t="s">
        <v>25</v>
      </c>
      <c r="AG2" s="8" t="s">
        <v>26</v>
      </c>
      <c r="AH2" s="8" t="s">
        <v>27</v>
      </c>
      <c r="AI2" s="8" t="s">
        <v>28</v>
      </c>
      <c r="AK2" s="8" t="s">
        <v>25</v>
      </c>
      <c r="AL2" s="8" t="s">
        <v>26</v>
      </c>
      <c r="AM2" s="8" t="s">
        <v>27</v>
      </c>
      <c r="AN2" s="8" t="s">
        <v>28</v>
      </c>
      <c r="AP2" s="8" t="s">
        <v>25</v>
      </c>
      <c r="AQ2" s="8" t="s">
        <v>26</v>
      </c>
      <c r="AR2" s="8" t="s">
        <v>27</v>
      </c>
      <c r="AS2" s="8" t="s">
        <v>28</v>
      </c>
      <c r="AU2" s="8" t="s">
        <v>25</v>
      </c>
      <c r="AV2" s="8" t="s">
        <v>26</v>
      </c>
      <c r="AW2" s="8" t="s">
        <v>27</v>
      </c>
      <c r="AX2" s="8" t="s">
        <v>28</v>
      </c>
      <c r="AZ2" s="8" t="s">
        <v>25</v>
      </c>
      <c r="BA2" s="8" t="s">
        <v>26</v>
      </c>
      <c r="BB2" s="8" t="s">
        <v>27</v>
      </c>
      <c r="BC2" s="8" t="s">
        <v>28</v>
      </c>
      <c r="BE2" s="8" t="s">
        <v>25</v>
      </c>
      <c r="BF2" s="8" t="s">
        <v>26</v>
      </c>
      <c r="BG2" s="8" t="s">
        <v>27</v>
      </c>
      <c r="BH2" s="8" t="s">
        <v>28</v>
      </c>
      <c r="BJ2" s="8" t="s">
        <v>25</v>
      </c>
      <c r="BK2" s="8" t="s">
        <v>26</v>
      </c>
      <c r="BL2" s="8" t="s">
        <v>27</v>
      </c>
      <c r="BM2" s="8" t="s">
        <v>28</v>
      </c>
      <c r="BO2" s="8" t="s">
        <v>25</v>
      </c>
      <c r="BP2" s="8" t="s">
        <v>26</v>
      </c>
      <c r="BQ2" s="8" t="s">
        <v>27</v>
      </c>
      <c r="BR2" s="8" t="s">
        <v>28</v>
      </c>
      <c r="BT2" s="8" t="s">
        <v>25</v>
      </c>
      <c r="BU2" s="8" t="s">
        <v>26</v>
      </c>
      <c r="BV2" s="8" t="s">
        <v>27</v>
      </c>
      <c r="BW2" s="8" t="s">
        <v>28</v>
      </c>
      <c r="BY2" s="8" t="s">
        <v>25</v>
      </c>
      <c r="BZ2" s="8" t="s">
        <v>26</v>
      </c>
      <c r="CA2" s="8" t="s">
        <v>27</v>
      </c>
      <c r="CB2" s="8" t="s">
        <v>28</v>
      </c>
    </row>
    <row r="3" spans="1:85" x14ac:dyDescent="0.2">
      <c r="A3" s="1" t="s">
        <v>0</v>
      </c>
      <c r="B3" s="14">
        <v>1</v>
      </c>
      <c r="C3" s="2">
        <v>17</v>
      </c>
      <c r="D3" s="2">
        <f>32+1</f>
        <v>33</v>
      </c>
      <c r="E3" s="2">
        <f>32+17</f>
        <v>49</v>
      </c>
      <c r="G3" s="14">
        <v>16</v>
      </c>
      <c r="H3" s="2">
        <v>32</v>
      </c>
      <c r="I3" s="2">
        <f>32+16</f>
        <v>48</v>
      </c>
      <c r="J3" s="2">
        <f>32+32</f>
        <v>64</v>
      </c>
      <c r="L3" s="14">
        <v>8</v>
      </c>
      <c r="M3" s="2">
        <v>24</v>
      </c>
      <c r="N3" s="2">
        <f>32+8</f>
        <v>40</v>
      </c>
      <c r="O3" s="2">
        <f>32+24</f>
        <v>56</v>
      </c>
      <c r="Q3" s="14">
        <v>9</v>
      </c>
      <c r="R3" s="2">
        <v>25</v>
      </c>
      <c r="S3" s="2">
        <f>32+9</f>
        <v>41</v>
      </c>
      <c r="T3" s="2">
        <f>32+25</f>
        <v>57</v>
      </c>
      <c r="V3" s="14">
        <v>15</v>
      </c>
      <c r="W3" s="2">
        <v>31</v>
      </c>
      <c r="X3" s="2">
        <f>32+15</f>
        <v>47</v>
      </c>
      <c r="Y3" s="2">
        <f>32+31</f>
        <v>63</v>
      </c>
      <c r="AA3" s="14">
        <v>2</v>
      </c>
      <c r="AB3" s="2">
        <v>18</v>
      </c>
      <c r="AC3" s="2">
        <f>32+2</f>
        <v>34</v>
      </c>
      <c r="AD3" s="2">
        <f>32+18</f>
        <v>50</v>
      </c>
      <c r="AF3" s="14">
        <v>10</v>
      </c>
      <c r="AG3" s="2">
        <v>26</v>
      </c>
      <c r="AH3" s="2">
        <f>32+10</f>
        <v>42</v>
      </c>
      <c r="AI3" s="2">
        <f>32+26</f>
        <v>58</v>
      </c>
      <c r="AK3" s="14">
        <v>7</v>
      </c>
      <c r="AL3" s="2">
        <v>23</v>
      </c>
      <c r="AM3" s="2">
        <f>32+7</f>
        <v>39</v>
      </c>
      <c r="AN3" s="2">
        <f>32+23</f>
        <v>55</v>
      </c>
      <c r="AP3" s="14">
        <v>6</v>
      </c>
      <c r="AQ3" s="2">
        <v>22</v>
      </c>
      <c r="AR3" s="2">
        <f>32+6</f>
        <v>38</v>
      </c>
      <c r="AS3" s="2">
        <f>32+22</f>
        <v>54</v>
      </c>
      <c r="AU3" s="14">
        <v>11</v>
      </c>
      <c r="AV3" s="2">
        <v>27</v>
      </c>
      <c r="AW3" s="2">
        <f>32+11</f>
        <v>43</v>
      </c>
      <c r="AX3" s="2">
        <f>32+27</f>
        <v>59</v>
      </c>
      <c r="AZ3" s="14">
        <v>3</v>
      </c>
      <c r="BA3" s="2">
        <v>19</v>
      </c>
      <c r="BB3" s="2">
        <f>32+3</f>
        <v>35</v>
      </c>
      <c r="BC3" s="2">
        <f>32+19</f>
        <v>51</v>
      </c>
      <c r="BE3" s="14">
        <v>14</v>
      </c>
      <c r="BF3" s="2">
        <v>30</v>
      </c>
      <c r="BG3" s="2">
        <f>32+14</f>
        <v>46</v>
      </c>
      <c r="BH3" s="2">
        <f>32+30</f>
        <v>62</v>
      </c>
      <c r="BJ3" s="14">
        <v>12</v>
      </c>
      <c r="BK3" s="2">
        <v>28</v>
      </c>
      <c r="BL3" s="2">
        <f>32+12</f>
        <v>44</v>
      </c>
      <c r="BM3" s="2">
        <f>32+28</f>
        <v>60</v>
      </c>
      <c r="BO3" s="14">
        <v>5</v>
      </c>
      <c r="BP3" s="2">
        <v>21</v>
      </c>
      <c r="BQ3" s="2">
        <f>32+5</f>
        <v>37</v>
      </c>
      <c r="BR3" s="2">
        <f>32+21</f>
        <v>53</v>
      </c>
      <c r="BT3" s="14">
        <v>13</v>
      </c>
      <c r="BU3" s="2">
        <v>29</v>
      </c>
      <c r="BV3" s="2">
        <f>32+13</f>
        <v>45</v>
      </c>
      <c r="BW3" s="2">
        <f>32+29</f>
        <v>61</v>
      </c>
      <c r="BY3" s="14">
        <v>4</v>
      </c>
      <c r="BZ3" s="2">
        <v>20</v>
      </c>
      <c r="CA3" s="2">
        <f>32+4</f>
        <v>36</v>
      </c>
      <c r="CB3" s="2">
        <f>32+20</f>
        <v>52</v>
      </c>
    </row>
    <row r="4" spans="1:85" x14ac:dyDescent="0.2">
      <c r="A4" s="1" t="s">
        <v>1</v>
      </c>
      <c r="B4" s="14">
        <f>32+14</f>
        <v>46</v>
      </c>
      <c r="C4" s="2">
        <f>32+29</f>
        <v>61</v>
      </c>
      <c r="D4" s="2">
        <v>16</v>
      </c>
      <c r="E4" s="2">
        <v>31</v>
      </c>
      <c r="G4" s="14">
        <f>32+3</f>
        <v>35</v>
      </c>
      <c r="H4" s="2">
        <f>32+20</f>
        <v>52</v>
      </c>
      <c r="I4" s="2">
        <v>1</v>
      </c>
      <c r="J4" s="2">
        <v>18</v>
      </c>
      <c r="L4" s="14">
        <f>32+11</f>
        <v>43</v>
      </c>
      <c r="M4" s="2">
        <f>32+28</f>
        <v>60</v>
      </c>
      <c r="N4" s="2">
        <v>9</v>
      </c>
      <c r="O4" s="2">
        <v>26</v>
      </c>
      <c r="Q4" s="14">
        <f>32+6</f>
        <v>38</v>
      </c>
      <c r="R4" s="2">
        <f>32+21</f>
        <v>53</v>
      </c>
      <c r="S4" s="2">
        <v>8</v>
      </c>
      <c r="T4" s="2">
        <v>23</v>
      </c>
      <c r="V4" s="14">
        <f>32+4</f>
        <v>36</v>
      </c>
      <c r="W4" s="2">
        <f>32+19</f>
        <v>51</v>
      </c>
      <c r="X4" s="2">
        <v>2</v>
      </c>
      <c r="Y4" s="2">
        <v>17</v>
      </c>
      <c r="AA4" s="14">
        <f>32+13</f>
        <v>45</v>
      </c>
      <c r="AB4" s="2">
        <f>32+30</f>
        <v>62</v>
      </c>
      <c r="AC4" s="2">
        <v>15</v>
      </c>
      <c r="AD4" s="2">
        <v>32</v>
      </c>
      <c r="AF4" s="14">
        <f>32+5</f>
        <v>37</v>
      </c>
      <c r="AG4" s="2">
        <f>32+22</f>
        <v>54</v>
      </c>
      <c r="AH4" s="2">
        <v>7</v>
      </c>
      <c r="AI4" s="2">
        <v>24</v>
      </c>
      <c r="AK4" s="14">
        <f>32+12</f>
        <v>44</v>
      </c>
      <c r="AL4" s="2">
        <f>32+27</f>
        <v>59</v>
      </c>
      <c r="AM4" s="2">
        <v>10</v>
      </c>
      <c r="AN4" s="2">
        <v>25</v>
      </c>
      <c r="AP4" s="14">
        <f>32+9</f>
        <v>41</v>
      </c>
      <c r="AQ4" s="2">
        <f>32+26</f>
        <v>58</v>
      </c>
      <c r="AR4" s="2">
        <v>11</v>
      </c>
      <c r="AS4" s="2">
        <v>28</v>
      </c>
      <c r="AU4" s="14">
        <f>32+8</f>
        <v>40</v>
      </c>
      <c r="AV4" s="2">
        <f>32+23</f>
        <v>55</v>
      </c>
      <c r="AW4" s="2">
        <v>6</v>
      </c>
      <c r="AX4" s="2">
        <v>21</v>
      </c>
      <c r="AZ4" s="14">
        <f>32+16</f>
        <v>48</v>
      </c>
      <c r="BA4" s="2">
        <f>32+31</f>
        <v>63</v>
      </c>
      <c r="BB4" s="2">
        <v>14</v>
      </c>
      <c r="BC4" s="2">
        <v>29</v>
      </c>
      <c r="BE4" s="14">
        <f>32+1</f>
        <v>33</v>
      </c>
      <c r="BF4" s="2">
        <f>32+18</f>
        <v>50</v>
      </c>
      <c r="BG4" s="2">
        <v>3</v>
      </c>
      <c r="BH4" s="2">
        <v>20</v>
      </c>
      <c r="BJ4" s="14">
        <f>32+7</f>
        <v>39</v>
      </c>
      <c r="BK4" s="2">
        <f>32+24</f>
        <v>56</v>
      </c>
      <c r="BL4" s="2">
        <v>5</v>
      </c>
      <c r="BM4" s="2">
        <v>22</v>
      </c>
      <c r="BO4" s="14">
        <f>32+10</f>
        <v>42</v>
      </c>
      <c r="BP4" s="2">
        <f>32+25</f>
        <v>57</v>
      </c>
      <c r="BQ4" s="2">
        <v>12</v>
      </c>
      <c r="BR4" s="2">
        <v>27</v>
      </c>
      <c r="BT4" s="14">
        <f>32+2</f>
        <v>34</v>
      </c>
      <c r="BU4" s="2">
        <f>32+17</f>
        <v>49</v>
      </c>
      <c r="BV4" s="2">
        <v>4</v>
      </c>
      <c r="BW4" s="2">
        <v>19</v>
      </c>
      <c r="BY4" s="14">
        <f>32+15</f>
        <v>47</v>
      </c>
      <c r="BZ4" s="2">
        <f>32+32</f>
        <v>64</v>
      </c>
      <c r="CA4" s="2">
        <v>13</v>
      </c>
      <c r="CB4" s="2">
        <v>30</v>
      </c>
    </row>
    <row r="5" spans="1:85" x14ac:dyDescent="0.2">
      <c r="A5" s="1" t="s">
        <v>2</v>
      </c>
      <c r="B5" s="14">
        <v>22</v>
      </c>
      <c r="C5" s="2">
        <f>32+4</f>
        <v>36</v>
      </c>
      <c r="D5" s="2">
        <f>32+18</f>
        <v>50</v>
      </c>
      <c r="E5" s="2">
        <v>8</v>
      </c>
      <c r="G5" s="14">
        <v>27</v>
      </c>
      <c r="H5" s="2">
        <f>32+13</f>
        <v>45</v>
      </c>
      <c r="I5" s="2">
        <f>32+31</f>
        <v>63</v>
      </c>
      <c r="J5" s="2">
        <v>9</v>
      </c>
      <c r="L5" s="14">
        <v>19</v>
      </c>
      <c r="M5" s="2">
        <f>32+5</f>
        <v>37</v>
      </c>
      <c r="N5" s="2">
        <f>32+23</f>
        <v>55</v>
      </c>
      <c r="O5" s="2">
        <v>1</v>
      </c>
      <c r="Q5" s="14">
        <v>30</v>
      </c>
      <c r="R5" s="2">
        <f>32+12</f>
        <v>44</v>
      </c>
      <c r="S5" s="2">
        <f>32+26</f>
        <v>58</v>
      </c>
      <c r="T5" s="2">
        <v>16</v>
      </c>
      <c r="V5" s="14">
        <v>28</v>
      </c>
      <c r="W5" s="2">
        <f>32+14</f>
        <v>46</v>
      </c>
      <c r="X5" s="2">
        <f>32+32</f>
        <v>64</v>
      </c>
      <c r="Y5" s="2">
        <v>10</v>
      </c>
      <c r="AA5" s="14">
        <v>21</v>
      </c>
      <c r="AB5" s="2">
        <f>32+3</f>
        <v>35</v>
      </c>
      <c r="AC5" s="2">
        <f>32+17</f>
        <v>49</v>
      </c>
      <c r="AD5" s="2">
        <v>7</v>
      </c>
      <c r="AF5" s="14">
        <v>29</v>
      </c>
      <c r="AG5" s="2">
        <f>32+11</f>
        <v>43</v>
      </c>
      <c r="AH5" s="2">
        <f>32+25</f>
        <v>57</v>
      </c>
      <c r="AI5" s="2">
        <v>15</v>
      </c>
      <c r="AK5" s="14">
        <v>20</v>
      </c>
      <c r="AL5" s="2">
        <f>32+6</f>
        <v>38</v>
      </c>
      <c r="AM5" s="2">
        <f>32+24</f>
        <v>56</v>
      </c>
      <c r="AN5" s="2">
        <v>2</v>
      </c>
      <c r="AP5" s="14">
        <v>17</v>
      </c>
      <c r="AQ5" s="2">
        <f>32+7</f>
        <v>39</v>
      </c>
      <c r="AR5" s="2">
        <f>32+21</f>
        <v>53</v>
      </c>
      <c r="AS5" s="2">
        <v>3</v>
      </c>
      <c r="AU5" s="14">
        <v>32</v>
      </c>
      <c r="AV5" s="2">
        <f>32+10</f>
        <v>42</v>
      </c>
      <c r="AW5" s="2">
        <f>32+28</f>
        <v>60</v>
      </c>
      <c r="AX5" s="2">
        <v>14</v>
      </c>
      <c r="AZ5" s="14">
        <v>24</v>
      </c>
      <c r="BA5" s="2">
        <f>32+2</f>
        <v>34</v>
      </c>
      <c r="BB5" s="2">
        <f>32+20</f>
        <v>52</v>
      </c>
      <c r="BC5" s="2">
        <v>6</v>
      </c>
      <c r="BE5" s="14">
        <v>25</v>
      </c>
      <c r="BF5" s="2">
        <f>32+15</f>
        <v>47</v>
      </c>
      <c r="BG5" s="2">
        <f>32+29</f>
        <v>61</v>
      </c>
      <c r="BH5" s="2">
        <v>11</v>
      </c>
      <c r="BJ5" s="14">
        <v>31</v>
      </c>
      <c r="BK5" s="2">
        <f>32+9</f>
        <v>41</v>
      </c>
      <c r="BL5" s="2">
        <f>32+27</f>
        <v>59</v>
      </c>
      <c r="BM5" s="2">
        <v>13</v>
      </c>
      <c r="BO5" s="14">
        <v>18</v>
      </c>
      <c r="BP5" s="2">
        <f>32+8</f>
        <v>40</v>
      </c>
      <c r="BQ5" s="2">
        <f>32+22</f>
        <v>54</v>
      </c>
      <c r="BR5" s="2">
        <v>4</v>
      </c>
      <c r="BT5" s="14">
        <v>26</v>
      </c>
      <c r="BU5" s="2">
        <f>32+16</f>
        <v>48</v>
      </c>
      <c r="BV5" s="2">
        <f>32+30</f>
        <v>62</v>
      </c>
      <c r="BW5" s="2">
        <v>12</v>
      </c>
      <c r="BY5" s="14">
        <v>23</v>
      </c>
      <c r="BZ5" s="2">
        <f>32+1</f>
        <v>33</v>
      </c>
      <c r="CA5" s="2">
        <f>32+19</f>
        <v>51</v>
      </c>
      <c r="CB5" s="2">
        <v>5</v>
      </c>
    </row>
    <row r="6" spans="1:85" x14ac:dyDescent="0.2">
      <c r="A6" s="1" t="s">
        <v>3</v>
      </c>
      <c r="B6" s="14">
        <f>32+30</f>
        <v>62</v>
      </c>
      <c r="C6" s="2">
        <v>9</v>
      </c>
      <c r="D6" s="2">
        <v>28</v>
      </c>
      <c r="E6" s="2">
        <f>32+15</f>
        <v>47</v>
      </c>
      <c r="G6" s="14">
        <f>32+19</f>
        <v>51</v>
      </c>
      <c r="H6" s="2">
        <v>8</v>
      </c>
      <c r="I6" s="2">
        <v>21</v>
      </c>
      <c r="J6" s="2">
        <f>32+2</f>
        <v>34</v>
      </c>
      <c r="L6" s="14">
        <f>32+27</f>
        <v>59</v>
      </c>
      <c r="M6" s="2">
        <v>16</v>
      </c>
      <c r="N6" s="2">
        <v>29</v>
      </c>
      <c r="O6" s="2">
        <f>32+10</f>
        <v>42</v>
      </c>
      <c r="Q6" s="14">
        <f>32+22</f>
        <v>54</v>
      </c>
      <c r="R6" s="2">
        <v>1</v>
      </c>
      <c r="S6" s="2">
        <v>20</v>
      </c>
      <c r="T6" s="2">
        <f>32+7</f>
        <v>39</v>
      </c>
      <c r="V6" s="14">
        <f>32+20</f>
        <v>52</v>
      </c>
      <c r="W6" s="2">
        <v>7</v>
      </c>
      <c r="X6" s="2">
        <v>22</v>
      </c>
      <c r="Y6" s="2">
        <f>32+1</f>
        <v>33</v>
      </c>
      <c r="AA6" s="14">
        <f>32+29</f>
        <v>61</v>
      </c>
      <c r="AB6" s="2">
        <v>10</v>
      </c>
      <c r="AC6" s="2">
        <v>27</v>
      </c>
      <c r="AD6" s="2">
        <f>32+16</f>
        <v>48</v>
      </c>
      <c r="AF6" s="14">
        <f>32+21</f>
        <v>53</v>
      </c>
      <c r="AG6" s="2">
        <v>2</v>
      </c>
      <c r="AH6" s="2">
        <v>19</v>
      </c>
      <c r="AI6" s="2">
        <f>32+8</f>
        <v>40</v>
      </c>
      <c r="AK6" s="14">
        <f>32+28</f>
        <v>60</v>
      </c>
      <c r="AL6" s="2">
        <v>15</v>
      </c>
      <c r="AM6" s="2">
        <v>30</v>
      </c>
      <c r="AN6" s="2">
        <f>32+9</f>
        <v>41</v>
      </c>
      <c r="AP6" s="14">
        <f>32+25</f>
        <v>57</v>
      </c>
      <c r="AQ6" s="2">
        <v>14</v>
      </c>
      <c r="AR6" s="2">
        <v>31</v>
      </c>
      <c r="AS6" s="2">
        <f>32+12</f>
        <v>44</v>
      </c>
      <c r="AU6" s="14">
        <f>32+24</f>
        <v>56</v>
      </c>
      <c r="AV6" s="2">
        <v>3</v>
      </c>
      <c r="AW6" s="2">
        <v>18</v>
      </c>
      <c r="AX6" s="2">
        <f>32+5</f>
        <v>37</v>
      </c>
      <c r="AZ6" s="14">
        <f>32+32</f>
        <v>64</v>
      </c>
      <c r="BA6" s="2">
        <v>11</v>
      </c>
      <c r="BB6" s="2">
        <v>26</v>
      </c>
      <c r="BC6" s="2">
        <f>32+13</f>
        <v>45</v>
      </c>
      <c r="BE6" s="14">
        <f>32+17</f>
        <v>49</v>
      </c>
      <c r="BF6" s="2">
        <v>6</v>
      </c>
      <c r="BG6" s="2">
        <v>23</v>
      </c>
      <c r="BH6" s="2">
        <f>32+4</f>
        <v>36</v>
      </c>
      <c r="BJ6" s="14">
        <f>32+23</f>
        <v>55</v>
      </c>
      <c r="BK6" s="2">
        <v>4</v>
      </c>
      <c r="BL6" s="2">
        <v>17</v>
      </c>
      <c r="BM6" s="2">
        <f>32+6</f>
        <v>38</v>
      </c>
      <c r="BO6" s="14">
        <f>32+26</f>
        <v>58</v>
      </c>
      <c r="BP6" s="2">
        <v>13</v>
      </c>
      <c r="BQ6" s="2">
        <v>32</v>
      </c>
      <c r="BR6" s="2">
        <f>32+11</f>
        <v>43</v>
      </c>
      <c r="BT6" s="14">
        <f>32+18</f>
        <v>50</v>
      </c>
      <c r="BU6" s="2">
        <v>5</v>
      </c>
      <c r="BV6" s="2">
        <v>24</v>
      </c>
      <c r="BW6" s="2">
        <f>32+3</f>
        <v>35</v>
      </c>
      <c r="BY6" s="14">
        <f>32+31</f>
        <v>63</v>
      </c>
      <c r="BZ6" s="2">
        <v>12</v>
      </c>
      <c r="CA6" s="2">
        <v>25</v>
      </c>
      <c r="CB6" s="2">
        <f>32+14</f>
        <v>46</v>
      </c>
    </row>
    <row r="7" spans="1:85" x14ac:dyDescent="0.2">
      <c r="A7" s="1" t="s">
        <v>4</v>
      </c>
      <c r="B7" s="14">
        <v>15</v>
      </c>
      <c r="C7" s="2">
        <v>27</v>
      </c>
      <c r="D7" s="2">
        <f>32+7</f>
        <v>39</v>
      </c>
      <c r="E7" s="2">
        <f>32+19</f>
        <v>51</v>
      </c>
      <c r="G7" s="14">
        <v>2</v>
      </c>
      <c r="H7" s="2">
        <v>22</v>
      </c>
      <c r="I7" s="2">
        <f>32+10</f>
        <v>42</v>
      </c>
      <c r="J7" s="2">
        <f>32+30</f>
        <v>62</v>
      </c>
      <c r="L7" s="14">
        <v>10</v>
      </c>
      <c r="M7" s="2">
        <v>30</v>
      </c>
      <c r="N7" s="2">
        <f>32+2</f>
        <v>34</v>
      </c>
      <c r="O7" s="2">
        <f>32+22</f>
        <v>54</v>
      </c>
      <c r="Q7" s="14">
        <v>7</v>
      </c>
      <c r="R7" s="2">
        <v>19</v>
      </c>
      <c r="S7" s="2">
        <f>32+15</f>
        <v>47</v>
      </c>
      <c r="T7" s="2">
        <f>32+27</f>
        <v>59</v>
      </c>
      <c r="V7" s="14">
        <v>1</v>
      </c>
      <c r="W7" s="2">
        <v>21</v>
      </c>
      <c r="X7" s="2">
        <f>32+9</f>
        <v>41</v>
      </c>
      <c r="Y7" s="2">
        <f>32+29</f>
        <v>61</v>
      </c>
      <c r="AA7" s="14">
        <v>16</v>
      </c>
      <c r="AB7" s="2">
        <v>28</v>
      </c>
      <c r="AC7" s="2">
        <f>32+8</f>
        <v>40</v>
      </c>
      <c r="AD7" s="2">
        <f>32+20</f>
        <v>52</v>
      </c>
      <c r="AF7" s="14">
        <v>8</v>
      </c>
      <c r="AG7" s="2">
        <v>20</v>
      </c>
      <c r="AH7" s="2">
        <f>32+16</f>
        <v>48</v>
      </c>
      <c r="AI7" s="2">
        <f>32+28</f>
        <v>60</v>
      </c>
      <c r="AK7" s="14">
        <v>9</v>
      </c>
      <c r="AL7" s="2">
        <v>29</v>
      </c>
      <c r="AM7" s="2">
        <f>32+1</f>
        <v>33</v>
      </c>
      <c r="AN7" s="2">
        <f>32+21</f>
        <v>53</v>
      </c>
      <c r="AP7" s="14">
        <v>12</v>
      </c>
      <c r="AQ7" s="2">
        <v>32</v>
      </c>
      <c r="AR7" s="2">
        <f>32+4</f>
        <v>36</v>
      </c>
      <c r="AS7" s="2">
        <f>32+24</f>
        <v>56</v>
      </c>
      <c r="AU7" s="14">
        <v>5</v>
      </c>
      <c r="AV7" s="2">
        <v>17</v>
      </c>
      <c r="AW7" s="2">
        <f>32+13</f>
        <v>45</v>
      </c>
      <c r="AX7" s="2">
        <f>32+25</f>
        <v>57</v>
      </c>
      <c r="AZ7" s="14">
        <v>13</v>
      </c>
      <c r="BA7" s="2">
        <v>25</v>
      </c>
      <c r="BB7" s="2">
        <f>32+5</f>
        <v>37</v>
      </c>
      <c r="BC7" s="2">
        <f>32+17</f>
        <v>49</v>
      </c>
      <c r="BE7" s="14">
        <v>4</v>
      </c>
      <c r="BF7" s="2">
        <v>24</v>
      </c>
      <c r="BG7" s="2">
        <f>32+12</f>
        <v>44</v>
      </c>
      <c r="BH7" s="2">
        <f>32+32</f>
        <v>64</v>
      </c>
      <c r="BJ7" s="14">
        <v>6</v>
      </c>
      <c r="BK7" s="2">
        <v>18</v>
      </c>
      <c r="BL7" s="2">
        <f>32+14</f>
        <v>46</v>
      </c>
      <c r="BM7" s="2">
        <f>32+26</f>
        <v>58</v>
      </c>
      <c r="BO7" s="14">
        <v>11</v>
      </c>
      <c r="BP7" s="2">
        <v>31</v>
      </c>
      <c r="BQ7" s="2">
        <f>32+3</f>
        <v>35</v>
      </c>
      <c r="BR7" s="2">
        <f>32+23</f>
        <v>55</v>
      </c>
      <c r="BT7" s="14">
        <v>3</v>
      </c>
      <c r="BU7" s="2">
        <v>23</v>
      </c>
      <c r="BV7" s="2">
        <f>32+11</f>
        <v>43</v>
      </c>
      <c r="BW7" s="2">
        <f>32+31</f>
        <v>63</v>
      </c>
      <c r="BY7" s="14">
        <v>14</v>
      </c>
      <c r="BZ7" s="2">
        <v>26</v>
      </c>
      <c r="CA7" s="2">
        <f>32+6</f>
        <v>38</v>
      </c>
      <c r="CB7" s="2">
        <f>32+18</f>
        <v>50</v>
      </c>
    </row>
    <row r="8" spans="1:85" x14ac:dyDescent="0.2">
      <c r="A8" s="1" t="s">
        <v>5</v>
      </c>
      <c r="B8" s="14">
        <f>32+12</f>
        <v>44</v>
      </c>
      <c r="C8" s="2">
        <f>32+31</f>
        <v>63</v>
      </c>
      <c r="D8" s="2">
        <v>2</v>
      </c>
      <c r="E8" s="2">
        <v>21</v>
      </c>
      <c r="G8" s="14">
        <f>32+5</f>
        <v>37</v>
      </c>
      <c r="H8" s="2">
        <f>32+18</f>
        <v>50</v>
      </c>
      <c r="I8" s="2">
        <v>15</v>
      </c>
      <c r="J8" s="2">
        <v>28</v>
      </c>
      <c r="L8" s="14">
        <f>32+13</f>
        <v>45</v>
      </c>
      <c r="M8" s="2">
        <f>32+26</f>
        <v>58</v>
      </c>
      <c r="N8" s="2">
        <v>7</v>
      </c>
      <c r="O8" s="2">
        <v>20</v>
      </c>
      <c r="Q8" s="14">
        <f>32+4</f>
        <v>36</v>
      </c>
      <c r="R8" s="2">
        <f>32+23</f>
        <v>55</v>
      </c>
      <c r="S8" s="2">
        <v>10</v>
      </c>
      <c r="T8" s="2">
        <v>29</v>
      </c>
      <c r="V8" s="14">
        <f>32+6</f>
        <v>38</v>
      </c>
      <c r="W8" s="2">
        <f>32+17</f>
        <v>49</v>
      </c>
      <c r="X8" s="2">
        <v>16</v>
      </c>
      <c r="Y8" s="2">
        <v>27</v>
      </c>
      <c r="AA8" s="14">
        <f>32+11</f>
        <v>43</v>
      </c>
      <c r="AB8" s="2">
        <f>32+32</f>
        <v>64</v>
      </c>
      <c r="AC8" s="2">
        <v>1</v>
      </c>
      <c r="AD8" s="2">
        <v>22</v>
      </c>
      <c r="AF8" s="14">
        <f>32+3</f>
        <v>35</v>
      </c>
      <c r="AG8" s="2">
        <f>32+24</f>
        <v>56</v>
      </c>
      <c r="AH8" s="2">
        <v>9</v>
      </c>
      <c r="AI8" s="2">
        <v>30</v>
      </c>
      <c r="AK8" s="14">
        <f>32+14</f>
        <v>46</v>
      </c>
      <c r="AL8" s="2">
        <f>32+25</f>
        <v>57</v>
      </c>
      <c r="AM8" s="2">
        <v>8</v>
      </c>
      <c r="AN8" s="2">
        <v>19</v>
      </c>
      <c r="AP8" s="14">
        <f>32+15</f>
        <v>47</v>
      </c>
      <c r="AQ8" s="2">
        <f>32+28</f>
        <v>60</v>
      </c>
      <c r="AR8" s="2">
        <v>5</v>
      </c>
      <c r="AS8" s="2">
        <v>18</v>
      </c>
      <c r="AU8" s="14">
        <f>32+2</f>
        <v>34</v>
      </c>
      <c r="AV8" s="2">
        <f>32+21</f>
        <v>53</v>
      </c>
      <c r="AW8" s="2">
        <v>12</v>
      </c>
      <c r="AX8" s="2">
        <v>31</v>
      </c>
      <c r="AZ8" s="14">
        <f>32+10</f>
        <v>42</v>
      </c>
      <c r="BA8" s="2">
        <f>32+29</f>
        <v>61</v>
      </c>
      <c r="BB8" s="2">
        <v>4</v>
      </c>
      <c r="BC8" s="2">
        <v>23</v>
      </c>
      <c r="BE8" s="14">
        <f>32+7</f>
        <v>39</v>
      </c>
      <c r="BF8" s="2">
        <f>32+20</f>
        <v>52</v>
      </c>
      <c r="BG8" s="2">
        <v>13</v>
      </c>
      <c r="BH8" s="2">
        <v>26</v>
      </c>
      <c r="BJ8" s="14">
        <f>32+1</f>
        <v>33</v>
      </c>
      <c r="BK8" s="2">
        <f>32+22</f>
        <v>54</v>
      </c>
      <c r="BL8" s="2">
        <v>11</v>
      </c>
      <c r="BM8" s="2">
        <v>32</v>
      </c>
      <c r="BO8" s="14">
        <f>32+16</f>
        <v>48</v>
      </c>
      <c r="BP8" s="2">
        <f>32+27</f>
        <v>59</v>
      </c>
      <c r="BQ8" s="2">
        <v>6</v>
      </c>
      <c r="BR8" s="2">
        <v>17</v>
      </c>
      <c r="BT8" s="14">
        <f>32+8</f>
        <v>40</v>
      </c>
      <c r="BU8" s="2">
        <f>32+19</f>
        <v>51</v>
      </c>
      <c r="BV8" s="2">
        <v>14</v>
      </c>
      <c r="BW8" s="2">
        <v>25</v>
      </c>
      <c r="BY8" s="14">
        <f>32+9</f>
        <v>41</v>
      </c>
      <c r="BZ8" s="2">
        <f>32+30</f>
        <v>62</v>
      </c>
      <c r="CA8" s="2">
        <v>3</v>
      </c>
      <c r="CB8" s="2">
        <v>24</v>
      </c>
    </row>
    <row r="9" spans="1:85" x14ac:dyDescent="0.2">
      <c r="A9" s="1" t="s">
        <v>6</v>
      </c>
      <c r="B9" s="14">
        <v>32</v>
      </c>
      <c r="C9" s="2">
        <f>32+6</f>
        <v>38</v>
      </c>
      <c r="D9" s="2">
        <f>32+20</f>
        <v>52</v>
      </c>
      <c r="E9" s="2">
        <v>10</v>
      </c>
      <c r="G9" s="14">
        <v>17</v>
      </c>
      <c r="H9" s="2">
        <f>32+11</f>
        <v>43</v>
      </c>
      <c r="I9" s="2">
        <f>32+29</f>
        <v>61</v>
      </c>
      <c r="J9" s="2">
        <v>7</v>
      </c>
      <c r="L9" s="14">
        <v>25</v>
      </c>
      <c r="M9" s="2">
        <f>32+3</f>
        <v>35</v>
      </c>
      <c r="N9" s="2">
        <f>32+21</f>
        <v>53</v>
      </c>
      <c r="O9" s="2">
        <v>15</v>
      </c>
      <c r="Q9" s="14">
        <v>24</v>
      </c>
      <c r="R9" s="2">
        <f>32+14</f>
        <v>46</v>
      </c>
      <c r="S9" s="2">
        <f>32+28</f>
        <v>60</v>
      </c>
      <c r="T9" s="2">
        <v>2</v>
      </c>
      <c r="V9" s="14">
        <v>18</v>
      </c>
      <c r="W9" s="2">
        <f>32+12</f>
        <v>44</v>
      </c>
      <c r="X9" s="2">
        <f>32+30</f>
        <v>62</v>
      </c>
      <c r="Y9" s="2">
        <v>8</v>
      </c>
      <c r="AA9" s="14">
        <v>31</v>
      </c>
      <c r="AB9" s="2">
        <f>32+5</f>
        <v>37</v>
      </c>
      <c r="AC9" s="2">
        <f>32+19</f>
        <v>51</v>
      </c>
      <c r="AD9" s="2">
        <v>9</v>
      </c>
      <c r="AF9" s="14">
        <v>23</v>
      </c>
      <c r="AG9" s="2">
        <f>32+13</f>
        <v>45</v>
      </c>
      <c r="AH9" s="2">
        <f>32+27</f>
        <v>59</v>
      </c>
      <c r="AI9" s="2">
        <v>1</v>
      </c>
      <c r="AK9" s="14">
        <v>26</v>
      </c>
      <c r="AL9" s="2">
        <f>32+4</f>
        <v>36</v>
      </c>
      <c r="AM9" s="2">
        <f>32+22</f>
        <v>54</v>
      </c>
      <c r="AN9" s="2">
        <v>16</v>
      </c>
      <c r="AP9" s="14">
        <v>27</v>
      </c>
      <c r="AQ9" s="2">
        <f>32+1</f>
        <v>33</v>
      </c>
      <c r="AR9" s="2">
        <f>32+23</f>
        <v>55</v>
      </c>
      <c r="AS9" s="2">
        <v>13</v>
      </c>
      <c r="AU9" s="14">
        <v>22</v>
      </c>
      <c r="AV9" s="2">
        <f>32+16</f>
        <v>48</v>
      </c>
      <c r="AW9" s="2">
        <f>32+26</f>
        <v>58</v>
      </c>
      <c r="AX9" s="2">
        <v>4</v>
      </c>
      <c r="AZ9" s="14">
        <v>30</v>
      </c>
      <c r="BA9" s="2">
        <f>32+8</f>
        <v>40</v>
      </c>
      <c r="BB9" s="2">
        <f>32+18</f>
        <v>50</v>
      </c>
      <c r="BC9" s="2">
        <v>12</v>
      </c>
      <c r="BE9" s="14">
        <v>19</v>
      </c>
      <c r="BF9" s="2">
        <f>32+9</f>
        <v>41</v>
      </c>
      <c r="BG9" s="2">
        <f>32+31</f>
        <v>63</v>
      </c>
      <c r="BH9" s="2">
        <v>5</v>
      </c>
      <c r="BJ9" s="14">
        <v>21</v>
      </c>
      <c r="BK9" s="2">
        <f>32+15</f>
        <v>47</v>
      </c>
      <c r="BL9" s="2">
        <f>32+25</f>
        <v>57</v>
      </c>
      <c r="BM9" s="2">
        <v>3</v>
      </c>
      <c r="BO9" s="14">
        <v>28</v>
      </c>
      <c r="BP9" s="2">
        <f>32+2</f>
        <v>34</v>
      </c>
      <c r="BQ9" s="2">
        <f>32+24</f>
        <v>56</v>
      </c>
      <c r="BR9" s="2">
        <v>14</v>
      </c>
      <c r="BT9" s="14">
        <v>20</v>
      </c>
      <c r="BU9" s="2">
        <f>32+10</f>
        <v>42</v>
      </c>
      <c r="BV9" s="2">
        <f>32+32</f>
        <v>64</v>
      </c>
      <c r="BW9" s="2">
        <v>6</v>
      </c>
      <c r="BY9" s="14">
        <v>29</v>
      </c>
      <c r="BZ9" s="2">
        <f>32+7</f>
        <v>39</v>
      </c>
      <c r="CA9" s="2">
        <f>32+17</f>
        <v>49</v>
      </c>
      <c r="CB9" s="2">
        <v>11</v>
      </c>
    </row>
    <row r="10" spans="1:85" x14ac:dyDescent="0.2">
      <c r="A10" s="1"/>
    </row>
    <row r="11" spans="1:85" x14ac:dyDescent="0.2">
      <c r="A11" s="1"/>
    </row>
    <row r="12" spans="1:85" x14ac:dyDescent="0.2">
      <c r="A12" s="1"/>
      <c r="CD12" s="15"/>
      <c r="CE12" s="15"/>
      <c r="CF12" s="15"/>
      <c r="CG12" s="15"/>
    </row>
    <row r="13" spans="1:85" ht="15" x14ac:dyDescent="0.25">
      <c r="A13" s="1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</row>
    <row r="14" spans="1:85" ht="15" x14ac:dyDescent="0.25">
      <c r="A14" s="1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</row>
    <row r="15" spans="1:85" ht="15" x14ac:dyDescent="0.25">
      <c r="A15" s="1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</row>
    <row r="16" spans="1:85" ht="15" x14ac:dyDescent="0.25">
      <c r="A16" s="1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</row>
    <row r="17" spans="1:85" ht="15" x14ac:dyDescent="0.25">
      <c r="A17" s="1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</row>
    <row r="18" spans="1:85" ht="15" x14ac:dyDescent="0.25">
      <c r="A18" s="1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</row>
    <row r="19" spans="1:85" ht="15" x14ac:dyDescent="0.25">
      <c r="A19" s="1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</row>
    <row r="20" spans="1:85" ht="15" x14ac:dyDescent="0.25">
      <c r="A20" s="1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</row>
    <row r="21" spans="1:85" ht="15" x14ac:dyDescent="0.25">
      <c r="A21" s="1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</row>
    <row r="22" spans="1:85" ht="15" x14ac:dyDescent="0.25">
      <c r="A22" s="1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</row>
    <row r="23" spans="1:85" ht="15" x14ac:dyDescent="0.25">
      <c r="A23" s="1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</row>
    <row r="24" spans="1:85" ht="15" x14ac:dyDescent="0.25">
      <c r="A24" s="1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</row>
    <row r="25" spans="1:85" ht="15" x14ac:dyDescent="0.25">
      <c r="A25" s="1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</row>
    <row r="26" spans="1:85" ht="15" x14ac:dyDescent="0.25">
      <c r="A26" s="1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</row>
    <row r="27" spans="1:85" ht="15" x14ac:dyDescent="0.25">
      <c r="A27" s="1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</row>
    <row r="28" spans="1:85" ht="15" x14ac:dyDescent="0.25">
      <c r="A28" s="1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</row>
    <row r="29" spans="1:85" ht="15" x14ac:dyDescent="0.25">
      <c r="A29" s="1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</row>
    <row r="30" spans="1:85" ht="15" x14ac:dyDescent="0.25">
      <c r="A30" s="1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</row>
    <row r="31" spans="1:85" ht="15" x14ac:dyDescent="0.25">
      <c r="A31" s="1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</row>
    <row r="32" spans="1:85" ht="15" x14ac:dyDescent="0.25">
      <c r="A32" s="1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</row>
    <row r="33" spans="1:85" ht="15" x14ac:dyDescent="0.25">
      <c r="A33" s="1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</row>
    <row r="34" spans="1:85" ht="15" x14ac:dyDescent="0.25">
      <c r="A34" s="1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</row>
    <row r="35" spans="1:85" ht="15" x14ac:dyDescent="0.25">
      <c r="A35" s="1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</row>
    <row r="36" spans="1:85" ht="15" x14ac:dyDescent="0.25">
      <c r="A36" s="1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</row>
    <row r="37" spans="1:85" ht="15" x14ac:dyDescent="0.25">
      <c r="A37" s="1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</row>
    <row r="38" spans="1:85" ht="15" x14ac:dyDescent="0.25">
      <c r="A38" s="1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</row>
    <row r="39" spans="1:85" ht="15" x14ac:dyDescent="0.25">
      <c r="A39" s="1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</row>
    <row r="40" spans="1:85" ht="15" x14ac:dyDescent="0.25">
      <c r="A40" s="1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</row>
    <row r="41" spans="1:85" ht="15" x14ac:dyDescent="0.25">
      <c r="A41" s="1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</row>
    <row r="42" spans="1:85" ht="15" x14ac:dyDescent="0.25">
      <c r="A42" s="1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</row>
    <row r="43" spans="1:85" ht="15" x14ac:dyDescent="0.25">
      <c r="A43" s="1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</row>
    <row r="44" spans="1:85" ht="15" x14ac:dyDescent="0.25">
      <c r="A44" s="1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</row>
    <row r="45" spans="1:85" ht="15" x14ac:dyDescent="0.25">
      <c r="A45" s="1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</row>
    <row r="46" spans="1:85" ht="15" x14ac:dyDescent="0.25">
      <c r="A46" s="1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</row>
    <row r="47" spans="1:85" ht="15" x14ac:dyDescent="0.25">
      <c r="A47" s="1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</row>
    <row r="48" spans="1:85" ht="15" x14ac:dyDescent="0.25">
      <c r="A48" s="1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</row>
    <row r="49" spans="1:85" ht="15" x14ac:dyDescent="0.25">
      <c r="A49" s="1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</row>
    <row r="50" spans="1:85" ht="15" x14ac:dyDescent="0.25">
      <c r="A50" s="1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</row>
    <row r="51" spans="1:85" ht="15" x14ac:dyDescent="0.25">
      <c r="A51" s="1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</row>
    <row r="52" spans="1:85" ht="15" x14ac:dyDescent="0.25">
      <c r="A52" s="1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</row>
    <row r="53" spans="1:85" ht="15" x14ac:dyDescent="0.25">
      <c r="A53" s="1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</row>
    <row r="54" spans="1:85" ht="15" x14ac:dyDescent="0.25">
      <c r="A54" s="1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</row>
    <row r="55" spans="1:85" ht="15" x14ac:dyDescent="0.25">
      <c r="A55" s="1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</row>
    <row r="56" spans="1:85" ht="15" x14ac:dyDescent="0.25">
      <c r="A56" s="1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</row>
    <row r="57" spans="1:85" ht="15" x14ac:dyDescent="0.25">
      <c r="A57" s="1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</row>
    <row r="58" spans="1:85" ht="15" x14ac:dyDescent="0.25">
      <c r="A58" s="1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</row>
    <row r="59" spans="1:85" ht="15" x14ac:dyDescent="0.25">
      <c r="A59" s="1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</row>
    <row r="60" spans="1:85" ht="15" x14ac:dyDescent="0.25">
      <c r="A60" s="1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</row>
    <row r="61" spans="1:85" ht="15" x14ac:dyDescent="0.25">
      <c r="A61" s="1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</row>
    <row r="62" spans="1:85" ht="15" x14ac:dyDescent="0.25">
      <c r="A62" s="1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</row>
    <row r="63" spans="1:85" ht="15" x14ac:dyDescent="0.25">
      <c r="A63" s="1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</row>
    <row r="64" spans="1:85" ht="15" x14ac:dyDescent="0.25">
      <c r="A64" s="1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</row>
    <row r="65" spans="1:85" ht="15" x14ac:dyDescent="0.25">
      <c r="A65" s="1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</row>
    <row r="66" spans="1:85" ht="15" x14ac:dyDescent="0.25">
      <c r="A66" s="1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</row>
    <row r="67" spans="1:85" ht="15" x14ac:dyDescent="0.25">
      <c r="A67" s="1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</row>
    <row r="68" spans="1:85" ht="15" x14ac:dyDescent="0.25">
      <c r="A68" s="1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</row>
    <row r="69" spans="1:85" ht="15" x14ac:dyDescent="0.25">
      <c r="A69" s="1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</row>
    <row r="70" spans="1:85" ht="15" x14ac:dyDescent="0.25">
      <c r="A70" s="1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</row>
    <row r="71" spans="1:85" ht="15" x14ac:dyDescent="0.25">
      <c r="A71" s="1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</row>
    <row r="72" spans="1:85" ht="15" x14ac:dyDescent="0.25">
      <c r="A72" s="1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</row>
    <row r="73" spans="1:85" ht="15" x14ac:dyDescent="0.25">
      <c r="A73" s="1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</row>
    <row r="74" spans="1:85" ht="15" x14ac:dyDescent="0.25">
      <c r="A74" s="1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</row>
    <row r="75" spans="1:85" ht="15" x14ac:dyDescent="0.25">
      <c r="A75" s="1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</row>
    <row r="76" spans="1:85" ht="15" x14ac:dyDescent="0.25">
      <c r="A76" s="1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</row>
  </sheetData>
  <mergeCells count="16">
    <mergeCell ref="AA1:AD1"/>
    <mergeCell ref="BJ1:BM1"/>
    <mergeCell ref="BO1:BR1"/>
    <mergeCell ref="BT1:BW1"/>
    <mergeCell ref="BY1:CB1"/>
    <mergeCell ref="AF1:AI1"/>
    <mergeCell ref="AK1:AN1"/>
    <mergeCell ref="AP1:AS1"/>
    <mergeCell ref="AU1:AX1"/>
    <mergeCell ref="AZ1:BC1"/>
    <mergeCell ref="BE1:BH1"/>
    <mergeCell ref="B1:E1"/>
    <mergeCell ref="G1:J1"/>
    <mergeCell ref="L1:O1"/>
    <mergeCell ref="Q1:T1"/>
    <mergeCell ref="V1:Y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CL80"/>
  <sheetViews>
    <sheetView zoomScale="70" zoomScaleNormal="70" workbookViewId="0">
      <selection activeCell="CJ6" sqref="CJ6"/>
    </sheetView>
  </sheetViews>
  <sheetFormatPr defaultColWidth="9.140625" defaultRowHeight="12.75" x14ac:dyDescent="0.2"/>
  <cols>
    <col min="1" max="1" width="9.140625" style="2"/>
    <col min="2" max="5" width="4" style="2" bestFit="1" customWidth="1"/>
    <col min="6" max="6" width="4" style="2" customWidth="1"/>
    <col min="7" max="10" width="4" style="2" bestFit="1" customWidth="1"/>
    <col min="11" max="11" width="4" style="2" customWidth="1"/>
    <col min="12" max="15" width="4" style="2" bestFit="1" customWidth="1"/>
    <col min="16" max="16" width="4" style="2" customWidth="1"/>
    <col min="17" max="20" width="4" style="2" bestFit="1" customWidth="1"/>
    <col min="21" max="21" width="4" style="2" customWidth="1"/>
    <col min="22" max="25" width="4" style="2" bestFit="1" customWidth="1"/>
    <col min="26" max="26" width="4" style="2" customWidth="1"/>
    <col min="27" max="30" width="4" style="2" bestFit="1" customWidth="1"/>
    <col min="31" max="31" width="4" style="2" customWidth="1"/>
    <col min="32" max="35" width="4" style="2" bestFit="1" customWidth="1"/>
    <col min="36" max="36" width="4" style="2" customWidth="1"/>
    <col min="37" max="40" width="4" style="2" bestFit="1" customWidth="1"/>
    <col min="41" max="41" width="4" style="2" customWidth="1"/>
    <col min="42" max="45" width="4" style="2" bestFit="1" customWidth="1"/>
    <col min="46" max="46" width="4" style="2" customWidth="1"/>
    <col min="47" max="50" width="4" style="2" bestFit="1" customWidth="1"/>
    <col min="51" max="51" width="4" style="2" customWidth="1"/>
    <col min="52" max="55" width="4" style="2" bestFit="1" customWidth="1"/>
    <col min="56" max="56" width="4" style="2" customWidth="1"/>
    <col min="57" max="60" width="4" style="2" bestFit="1" customWidth="1"/>
    <col min="61" max="61" width="4" style="2" customWidth="1"/>
    <col min="62" max="65" width="4" style="2" bestFit="1" customWidth="1"/>
    <col min="66" max="66" width="4" style="2" customWidth="1"/>
    <col min="67" max="70" width="4" style="2" bestFit="1" customWidth="1"/>
    <col min="71" max="71" width="4" style="2" customWidth="1"/>
    <col min="72" max="75" width="4" style="2" bestFit="1" customWidth="1"/>
    <col min="76" max="76" width="4" style="2" customWidth="1"/>
    <col min="77" max="80" width="4" style="2" bestFit="1" customWidth="1"/>
    <col min="81" max="81" width="4" style="2" customWidth="1"/>
    <col min="82" max="85" width="4" style="2" bestFit="1" customWidth="1"/>
    <col min="86" max="86" width="9.140625" style="2"/>
    <col min="87" max="87" width="6" style="2" bestFit="1" customWidth="1"/>
    <col min="88" max="88" width="7.7109375" style="2" bestFit="1" customWidth="1"/>
    <col min="89" max="89" width="6.5703125" style="2" bestFit="1" customWidth="1"/>
    <col min="90" max="90" width="7.140625" style="2" bestFit="1" customWidth="1"/>
    <col min="91" max="16384" width="9.140625" style="2"/>
  </cols>
  <sheetData>
    <row r="1" spans="1:90" s="4" customFormat="1" x14ac:dyDescent="0.2">
      <c r="B1" s="18" t="s">
        <v>7</v>
      </c>
      <c r="C1" s="18"/>
      <c r="D1" s="18"/>
      <c r="E1" s="18"/>
      <c r="G1" s="18" t="s">
        <v>8</v>
      </c>
      <c r="H1" s="18"/>
      <c r="I1" s="18"/>
      <c r="J1" s="18"/>
      <c r="L1" s="18" t="s">
        <v>9</v>
      </c>
      <c r="M1" s="18"/>
      <c r="N1" s="18"/>
      <c r="O1" s="18"/>
      <c r="Q1" s="18" t="s">
        <v>10</v>
      </c>
      <c r="R1" s="18"/>
      <c r="S1" s="18"/>
      <c r="T1" s="18"/>
      <c r="V1" s="18" t="s">
        <v>11</v>
      </c>
      <c r="W1" s="18"/>
      <c r="X1" s="18"/>
      <c r="Y1" s="18"/>
      <c r="AA1" s="18" t="s">
        <v>12</v>
      </c>
      <c r="AB1" s="18"/>
      <c r="AC1" s="18"/>
      <c r="AD1" s="18"/>
      <c r="AF1" s="18" t="s">
        <v>13</v>
      </c>
      <c r="AG1" s="18"/>
      <c r="AH1" s="18"/>
      <c r="AI1" s="18"/>
      <c r="AK1" s="18" t="s">
        <v>14</v>
      </c>
      <c r="AL1" s="18"/>
      <c r="AM1" s="18"/>
      <c r="AN1" s="18"/>
      <c r="AP1" s="18" t="s">
        <v>15</v>
      </c>
      <c r="AQ1" s="18"/>
      <c r="AR1" s="18"/>
      <c r="AS1" s="18"/>
      <c r="AU1" s="18" t="s">
        <v>16</v>
      </c>
      <c r="AV1" s="18"/>
      <c r="AW1" s="18"/>
      <c r="AX1" s="18"/>
      <c r="AZ1" s="18" t="s">
        <v>17</v>
      </c>
      <c r="BA1" s="18"/>
      <c r="BB1" s="18"/>
      <c r="BC1" s="18"/>
      <c r="BE1" s="18" t="s">
        <v>18</v>
      </c>
      <c r="BF1" s="18"/>
      <c r="BG1" s="18"/>
      <c r="BH1" s="18"/>
      <c r="BJ1" s="18" t="s">
        <v>19</v>
      </c>
      <c r="BK1" s="18"/>
      <c r="BL1" s="18"/>
      <c r="BM1" s="18"/>
      <c r="BO1" s="18" t="s">
        <v>20</v>
      </c>
      <c r="BP1" s="18"/>
      <c r="BQ1" s="18"/>
      <c r="BR1" s="18"/>
      <c r="BT1" s="18" t="s">
        <v>21</v>
      </c>
      <c r="BU1" s="18"/>
      <c r="BV1" s="18"/>
      <c r="BW1" s="18"/>
      <c r="BY1" s="18" t="s">
        <v>22</v>
      </c>
      <c r="BZ1" s="18"/>
      <c r="CA1" s="18"/>
      <c r="CB1" s="18"/>
      <c r="CD1" s="18" t="s">
        <v>23</v>
      </c>
      <c r="CE1" s="18"/>
      <c r="CF1" s="18"/>
      <c r="CG1" s="18"/>
    </row>
    <row r="2" spans="1:90" s="8" customFormat="1" x14ac:dyDescent="0.2">
      <c r="B2" s="8" t="s">
        <v>25</v>
      </c>
      <c r="C2" s="8" t="s">
        <v>26</v>
      </c>
      <c r="D2" s="8" t="s">
        <v>27</v>
      </c>
      <c r="E2" s="8" t="s">
        <v>28</v>
      </c>
      <c r="G2" s="8" t="s">
        <v>25</v>
      </c>
      <c r="H2" s="8" t="s">
        <v>26</v>
      </c>
      <c r="I2" s="8" t="s">
        <v>27</v>
      </c>
      <c r="J2" s="8" t="s">
        <v>28</v>
      </c>
      <c r="L2" s="8" t="s">
        <v>25</v>
      </c>
      <c r="M2" s="8" t="s">
        <v>26</v>
      </c>
      <c r="N2" s="8" t="s">
        <v>27</v>
      </c>
      <c r="O2" s="8" t="s">
        <v>28</v>
      </c>
      <c r="Q2" s="8" t="s">
        <v>25</v>
      </c>
      <c r="R2" s="8" t="s">
        <v>26</v>
      </c>
      <c r="S2" s="8" t="s">
        <v>27</v>
      </c>
      <c r="T2" s="8" t="s">
        <v>28</v>
      </c>
      <c r="V2" s="8" t="s">
        <v>25</v>
      </c>
      <c r="W2" s="8" t="s">
        <v>26</v>
      </c>
      <c r="X2" s="8" t="s">
        <v>27</v>
      </c>
      <c r="Y2" s="8" t="s">
        <v>28</v>
      </c>
      <c r="AA2" s="8" t="s">
        <v>25</v>
      </c>
      <c r="AB2" s="8" t="s">
        <v>26</v>
      </c>
      <c r="AC2" s="8" t="s">
        <v>27</v>
      </c>
      <c r="AD2" s="8" t="s">
        <v>28</v>
      </c>
      <c r="AF2" s="8" t="s">
        <v>25</v>
      </c>
      <c r="AG2" s="8" t="s">
        <v>26</v>
      </c>
      <c r="AH2" s="8" t="s">
        <v>27</v>
      </c>
      <c r="AI2" s="8" t="s">
        <v>28</v>
      </c>
      <c r="AK2" s="8" t="s">
        <v>25</v>
      </c>
      <c r="AL2" s="8" t="s">
        <v>26</v>
      </c>
      <c r="AM2" s="8" t="s">
        <v>27</v>
      </c>
      <c r="AN2" s="8" t="s">
        <v>28</v>
      </c>
      <c r="AP2" s="8" t="s">
        <v>25</v>
      </c>
      <c r="AQ2" s="8" t="s">
        <v>26</v>
      </c>
      <c r="AR2" s="8" t="s">
        <v>27</v>
      </c>
      <c r="AS2" s="8" t="s">
        <v>28</v>
      </c>
      <c r="AU2" s="8" t="s">
        <v>25</v>
      </c>
      <c r="AV2" s="8" t="s">
        <v>26</v>
      </c>
      <c r="AW2" s="8" t="s">
        <v>27</v>
      </c>
      <c r="AX2" s="8" t="s">
        <v>28</v>
      </c>
      <c r="AZ2" s="8" t="s">
        <v>25</v>
      </c>
      <c r="BA2" s="8" t="s">
        <v>26</v>
      </c>
      <c r="BB2" s="8" t="s">
        <v>27</v>
      </c>
      <c r="BC2" s="8" t="s">
        <v>28</v>
      </c>
      <c r="BE2" s="8" t="s">
        <v>25</v>
      </c>
      <c r="BF2" s="8" t="s">
        <v>26</v>
      </c>
      <c r="BG2" s="8" t="s">
        <v>27</v>
      </c>
      <c r="BH2" s="8" t="s">
        <v>28</v>
      </c>
      <c r="BJ2" s="8" t="s">
        <v>25</v>
      </c>
      <c r="BK2" s="8" t="s">
        <v>26</v>
      </c>
      <c r="BL2" s="8" t="s">
        <v>27</v>
      </c>
      <c r="BM2" s="8" t="s">
        <v>28</v>
      </c>
      <c r="BO2" s="8" t="s">
        <v>25</v>
      </c>
      <c r="BP2" s="8" t="s">
        <v>26</v>
      </c>
      <c r="BQ2" s="8" t="s">
        <v>27</v>
      </c>
      <c r="BR2" s="8" t="s">
        <v>28</v>
      </c>
      <c r="BT2" s="8" t="s">
        <v>25</v>
      </c>
      <c r="BU2" s="8" t="s">
        <v>26</v>
      </c>
      <c r="BV2" s="8" t="s">
        <v>27</v>
      </c>
      <c r="BW2" s="8" t="s">
        <v>28</v>
      </c>
      <c r="BY2" s="8" t="s">
        <v>25</v>
      </c>
      <c r="BZ2" s="8" t="s">
        <v>26</v>
      </c>
      <c r="CA2" s="8" t="s">
        <v>27</v>
      </c>
      <c r="CB2" s="8" t="s">
        <v>28</v>
      </c>
      <c r="CD2" s="8" t="s">
        <v>25</v>
      </c>
      <c r="CE2" s="8" t="s">
        <v>26</v>
      </c>
      <c r="CF2" s="8" t="s">
        <v>27</v>
      </c>
      <c r="CG2" s="8" t="s">
        <v>28</v>
      </c>
    </row>
    <row r="3" spans="1:90" ht="15" x14ac:dyDescent="0.25">
      <c r="A3" s="4" t="s">
        <v>0</v>
      </c>
      <c r="B3" s="14">
        <v>1</v>
      </c>
      <c r="C3" s="2">
        <v>18</v>
      </c>
      <c r="D3" s="2">
        <f>34+1</f>
        <v>35</v>
      </c>
      <c r="E3" s="2">
        <f>34+18</f>
        <v>52</v>
      </c>
      <c r="F3" s="6"/>
      <c r="G3" s="14">
        <v>17</v>
      </c>
      <c r="H3" s="2">
        <v>34</v>
      </c>
      <c r="I3" s="2">
        <f>34+17</f>
        <v>51</v>
      </c>
      <c r="J3" s="2">
        <f>34+34</f>
        <v>68</v>
      </c>
      <c r="K3" s="6"/>
      <c r="L3" s="14">
        <v>16</v>
      </c>
      <c r="M3" s="2">
        <v>33</v>
      </c>
      <c r="N3" s="2">
        <f>34+16</f>
        <v>50</v>
      </c>
      <c r="O3" s="2">
        <f>34+33</f>
        <v>67</v>
      </c>
      <c r="P3" s="6"/>
      <c r="Q3" s="14">
        <v>15</v>
      </c>
      <c r="R3" s="2">
        <v>32</v>
      </c>
      <c r="S3" s="2">
        <f>34+15</f>
        <v>49</v>
      </c>
      <c r="T3" s="2">
        <f>34+32</f>
        <v>66</v>
      </c>
      <c r="U3" s="6"/>
      <c r="V3" s="14">
        <v>14</v>
      </c>
      <c r="W3" s="2">
        <v>31</v>
      </c>
      <c r="X3" s="2">
        <f>34+14</f>
        <v>48</v>
      </c>
      <c r="Y3" s="2">
        <f>34+31</f>
        <v>65</v>
      </c>
      <c r="Z3" s="6"/>
      <c r="AA3" s="14">
        <v>13</v>
      </c>
      <c r="AB3" s="2">
        <v>30</v>
      </c>
      <c r="AC3" s="2">
        <f>34+13</f>
        <v>47</v>
      </c>
      <c r="AD3" s="2">
        <f>34+30</f>
        <v>64</v>
      </c>
      <c r="AE3" s="6"/>
      <c r="AF3" s="14">
        <v>12</v>
      </c>
      <c r="AG3" s="2">
        <v>29</v>
      </c>
      <c r="AH3" s="2">
        <f>34+12</f>
        <v>46</v>
      </c>
      <c r="AI3" s="2">
        <f>34+29</f>
        <v>63</v>
      </c>
      <c r="AJ3" s="6"/>
      <c r="AK3" s="14">
        <v>11</v>
      </c>
      <c r="AL3" s="2">
        <v>28</v>
      </c>
      <c r="AM3" s="2">
        <f>34+11</f>
        <v>45</v>
      </c>
      <c r="AN3" s="2">
        <f>34+28</f>
        <v>62</v>
      </c>
      <c r="AO3" s="6"/>
      <c r="AP3" s="14">
        <v>10</v>
      </c>
      <c r="AQ3" s="2">
        <v>27</v>
      </c>
      <c r="AR3" s="2">
        <f>34+10</f>
        <v>44</v>
      </c>
      <c r="AS3" s="2">
        <f>34+27</f>
        <v>61</v>
      </c>
      <c r="AT3" s="6"/>
      <c r="AU3" s="14">
        <v>9</v>
      </c>
      <c r="AV3" s="2">
        <v>26</v>
      </c>
      <c r="AW3" s="2">
        <f>34+9</f>
        <v>43</v>
      </c>
      <c r="AX3" s="2">
        <f>34+26</f>
        <v>60</v>
      </c>
      <c r="AY3" s="6"/>
      <c r="AZ3" s="14">
        <v>8</v>
      </c>
      <c r="BA3" s="2">
        <v>25</v>
      </c>
      <c r="BB3" s="2">
        <f>34+8</f>
        <v>42</v>
      </c>
      <c r="BC3" s="2">
        <f>34+25</f>
        <v>59</v>
      </c>
      <c r="BD3" s="6"/>
      <c r="BE3" s="14">
        <v>7</v>
      </c>
      <c r="BF3" s="2">
        <v>24</v>
      </c>
      <c r="BG3" s="2">
        <f>34+7</f>
        <v>41</v>
      </c>
      <c r="BH3" s="2">
        <f>34+24</f>
        <v>58</v>
      </c>
      <c r="BI3" s="6"/>
      <c r="BJ3" s="14">
        <v>6</v>
      </c>
      <c r="BK3" s="2">
        <v>23</v>
      </c>
      <c r="BL3" s="2">
        <f>34+6</f>
        <v>40</v>
      </c>
      <c r="BM3" s="2">
        <f>34+23</f>
        <v>57</v>
      </c>
      <c r="BN3" s="6"/>
      <c r="BO3" s="14">
        <v>5</v>
      </c>
      <c r="BP3" s="2">
        <v>22</v>
      </c>
      <c r="BQ3" s="2">
        <f>34+5</f>
        <v>39</v>
      </c>
      <c r="BR3" s="2">
        <f>34+22</f>
        <v>56</v>
      </c>
      <c r="BS3" s="6"/>
      <c r="BT3" s="14">
        <v>4</v>
      </c>
      <c r="BU3" s="2">
        <v>21</v>
      </c>
      <c r="BV3" s="2">
        <f>34+4</f>
        <v>38</v>
      </c>
      <c r="BW3" s="2">
        <f>34+21</f>
        <v>55</v>
      </c>
      <c r="BX3" s="6"/>
      <c r="BY3" s="14">
        <v>3</v>
      </c>
      <c r="BZ3" s="2">
        <v>20</v>
      </c>
      <c r="CA3" s="2">
        <f>34+3</f>
        <v>37</v>
      </c>
      <c r="CB3" s="2">
        <f>34+20</f>
        <v>54</v>
      </c>
      <c r="CC3" s="6"/>
      <c r="CD3" s="14">
        <v>2</v>
      </c>
      <c r="CE3" s="2">
        <v>19</v>
      </c>
      <c r="CF3" s="2">
        <f>34+2</f>
        <v>36</v>
      </c>
      <c r="CG3" s="2">
        <f>34+19</f>
        <v>53</v>
      </c>
    </row>
    <row r="4" spans="1:90" ht="15" x14ac:dyDescent="0.25">
      <c r="A4" s="4" t="s">
        <v>1</v>
      </c>
      <c r="B4" s="14">
        <f>34+15</f>
        <v>49</v>
      </c>
      <c r="C4" s="2">
        <f>34+31</f>
        <v>65</v>
      </c>
      <c r="D4" s="2">
        <v>17</v>
      </c>
      <c r="E4" s="2">
        <v>33</v>
      </c>
      <c r="F4" s="6"/>
      <c r="G4" s="14">
        <f>34+14</f>
        <v>48</v>
      </c>
      <c r="H4" s="2">
        <f>34+30</f>
        <v>64</v>
      </c>
      <c r="I4" s="2">
        <v>16</v>
      </c>
      <c r="J4" s="2">
        <v>32</v>
      </c>
      <c r="K4" s="6"/>
      <c r="L4" s="14">
        <f>34+13</f>
        <v>47</v>
      </c>
      <c r="M4" s="2">
        <f>34+29</f>
        <v>63</v>
      </c>
      <c r="N4" s="2">
        <v>15</v>
      </c>
      <c r="O4" s="2">
        <v>31</v>
      </c>
      <c r="P4" s="6"/>
      <c r="Q4" s="14">
        <f>34+12</f>
        <v>46</v>
      </c>
      <c r="R4" s="2">
        <f>34+28</f>
        <v>62</v>
      </c>
      <c r="S4" s="2">
        <v>14</v>
      </c>
      <c r="T4" s="2">
        <v>30</v>
      </c>
      <c r="U4" s="6"/>
      <c r="V4" s="14">
        <f>34+11</f>
        <v>45</v>
      </c>
      <c r="W4" s="2">
        <f>34+27</f>
        <v>61</v>
      </c>
      <c r="X4" s="2">
        <v>13</v>
      </c>
      <c r="Y4" s="2">
        <v>29</v>
      </c>
      <c r="Z4" s="6"/>
      <c r="AA4" s="14">
        <f>34+10</f>
        <v>44</v>
      </c>
      <c r="AB4" s="2">
        <f>34+26</f>
        <v>60</v>
      </c>
      <c r="AC4" s="2">
        <v>12</v>
      </c>
      <c r="AD4" s="2">
        <v>28</v>
      </c>
      <c r="AE4" s="6"/>
      <c r="AF4" s="14">
        <f>34+9</f>
        <v>43</v>
      </c>
      <c r="AG4" s="2">
        <f>34+25</f>
        <v>59</v>
      </c>
      <c r="AH4" s="2">
        <v>11</v>
      </c>
      <c r="AI4" s="2">
        <v>27</v>
      </c>
      <c r="AJ4" s="6"/>
      <c r="AK4" s="14">
        <f>34+8</f>
        <v>42</v>
      </c>
      <c r="AL4" s="2">
        <f>34+24</f>
        <v>58</v>
      </c>
      <c r="AM4" s="2">
        <v>10</v>
      </c>
      <c r="AN4" s="2">
        <v>26</v>
      </c>
      <c r="AO4" s="6"/>
      <c r="AP4" s="14">
        <f>34+7</f>
        <v>41</v>
      </c>
      <c r="AQ4" s="2">
        <f>34+23</f>
        <v>57</v>
      </c>
      <c r="AR4" s="2">
        <v>9</v>
      </c>
      <c r="AS4" s="2">
        <v>25</v>
      </c>
      <c r="AT4" s="6"/>
      <c r="AU4" s="14">
        <f>34+6</f>
        <v>40</v>
      </c>
      <c r="AV4" s="2">
        <f>34+22</f>
        <v>56</v>
      </c>
      <c r="AW4" s="2">
        <v>8</v>
      </c>
      <c r="AX4" s="2">
        <v>24</v>
      </c>
      <c r="AY4" s="6"/>
      <c r="AZ4" s="14">
        <f>34+5</f>
        <v>39</v>
      </c>
      <c r="BA4" s="2">
        <f>34+21</f>
        <v>55</v>
      </c>
      <c r="BB4" s="2">
        <v>7</v>
      </c>
      <c r="BC4" s="2">
        <v>23</v>
      </c>
      <c r="BD4" s="6"/>
      <c r="BE4" s="14">
        <f>34+4</f>
        <v>38</v>
      </c>
      <c r="BF4" s="2">
        <f>34+20</f>
        <v>54</v>
      </c>
      <c r="BG4" s="2">
        <v>6</v>
      </c>
      <c r="BH4" s="2">
        <v>22</v>
      </c>
      <c r="BI4" s="6"/>
      <c r="BJ4" s="14">
        <f>34+3</f>
        <v>37</v>
      </c>
      <c r="BK4" s="2">
        <f>34+19</f>
        <v>53</v>
      </c>
      <c r="BL4" s="2">
        <v>5</v>
      </c>
      <c r="BM4" s="2">
        <v>21</v>
      </c>
      <c r="BN4" s="6"/>
      <c r="BO4" s="14">
        <f>34+2</f>
        <v>36</v>
      </c>
      <c r="BP4" s="2">
        <f>34+18</f>
        <v>52</v>
      </c>
      <c r="BQ4" s="2">
        <v>4</v>
      </c>
      <c r="BR4" s="2">
        <v>20</v>
      </c>
      <c r="BS4" s="6"/>
      <c r="BT4" s="14">
        <f>34+1</f>
        <v>35</v>
      </c>
      <c r="BU4" s="2">
        <f>34+34</f>
        <v>68</v>
      </c>
      <c r="BV4" s="2">
        <v>3</v>
      </c>
      <c r="BW4" s="2">
        <v>19</v>
      </c>
      <c r="BX4" s="6"/>
      <c r="BY4" s="14">
        <f>34+17</f>
        <v>51</v>
      </c>
      <c r="BZ4" s="2">
        <f>34+33</f>
        <v>67</v>
      </c>
      <c r="CA4" s="2">
        <v>2</v>
      </c>
      <c r="CB4" s="2">
        <v>18</v>
      </c>
      <c r="CC4" s="6"/>
      <c r="CD4" s="14">
        <f>34+16</f>
        <v>50</v>
      </c>
      <c r="CE4" s="2">
        <f>34+32</f>
        <v>66</v>
      </c>
      <c r="CF4" s="2">
        <v>1</v>
      </c>
      <c r="CG4" s="2">
        <v>34</v>
      </c>
    </row>
    <row r="5" spans="1:90" ht="15" x14ac:dyDescent="0.25">
      <c r="A5" s="4" t="s">
        <v>2</v>
      </c>
      <c r="B5" s="14">
        <v>31</v>
      </c>
      <c r="C5" s="2">
        <f>34+12</f>
        <v>46</v>
      </c>
      <c r="D5" s="2">
        <f>34+27</f>
        <v>61</v>
      </c>
      <c r="E5" s="2">
        <v>16</v>
      </c>
      <c r="F5" s="6"/>
      <c r="G5" s="14">
        <v>30</v>
      </c>
      <c r="H5" s="2">
        <f>34+11</f>
        <v>45</v>
      </c>
      <c r="I5" s="2">
        <f>34+26</f>
        <v>60</v>
      </c>
      <c r="J5" s="2">
        <v>15</v>
      </c>
      <c r="K5" s="6"/>
      <c r="L5" s="14">
        <v>29</v>
      </c>
      <c r="M5" s="2">
        <f>34+10</f>
        <v>44</v>
      </c>
      <c r="N5" s="2">
        <f>34+25</f>
        <v>59</v>
      </c>
      <c r="O5" s="2">
        <v>14</v>
      </c>
      <c r="P5" s="6"/>
      <c r="Q5" s="14">
        <v>28</v>
      </c>
      <c r="R5" s="2">
        <f>34+9</f>
        <v>43</v>
      </c>
      <c r="S5" s="2">
        <f>34+24</f>
        <v>58</v>
      </c>
      <c r="T5" s="2">
        <v>13</v>
      </c>
      <c r="U5" s="6"/>
      <c r="V5" s="14">
        <v>27</v>
      </c>
      <c r="W5" s="2">
        <f>34+8</f>
        <v>42</v>
      </c>
      <c r="X5" s="2">
        <f>34+23</f>
        <v>57</v>
      </c>
      <c r="Y5" s="2">
        <v>12</v>
      </c>
      <c r="Z5" s="6"/>
      <c r="AA5" s="14">
        <v>26</v>
      </c>
      <c r="AB5" s="2">
        <f>34+7</f>
        <v>41</v>
      </c>
      <c r="AC5" s="2">
        <f>34+22</f>
        <v>56</v>
      </c>
      <c r="AD5" s="2">
        <v>11</v>
      </c>
      <c r="AE5" s="6"/>
      <c r="AF5" s="14">
        <v>25</v>
      </c>
      <c r="AG5" s="2">
        <f>34+6</f>
        <v>40</v>
      </c>
      <c r="AH5" s="2">
        <f>34+21</f>
        <v>55</v>
      </c>
      <c r="AI5" s="2">
        <v>10</v>
      </c>
      <c r="AJ5" s="6"/>
      <c r="AK5" s="14">
        <v>24</v>
      </c>
      <c r="AL5" s="2">
        <f>34+5</f>
        <v>39</v>
      </c>
      <c r="AM5" s="2">
        <f>34+20</f>
        <v>54</v>
      </c>
      <c r="AN5" s="2">
        <v>9</v>
      </c>
      <c r="AO5" s="6"/>
      <c r="AP5" s="14">
        <v>23</v>
      </c>
      <c r="AQ5" s="2">
        <f>34+4</f>
        <v>38</v>
      </c>
      <c r="AR5" s="2">
        <f>34+19</f>
        <v>53</v>
      </c>
      <c r="AS5" s="2">
        <v>8</v>
      </c>
      <c r="AT5" s="6"/>
      <c r="AU5" s="14">
        <v>22</v>
      </c>
      <c r="AV5" s="2">
        <f>34+3</f>
        <v>37</v>
      </c>
      <c r="AW5" s="2">
        <f>34+18</f>
        <v>52</v>
      </c>
      <c r="AX5" s="2">
        <v>7</v>
      </c>
      <c r="AY5" s="6"/>
      <c r="AZ5" s="14">
        <v>21</v>
      </c>
      <c r="BA5" s="2">
        <f>34+2</f>
        <v>36</v>
      </c>
      <c r="BB5" s="2">
        <f>34+34</f>
        <v>68</v>
      </c>
      <c r="BC5" s="2">
        <v>6</v>
      </c>
      <c r="BD5" s="6"/>
      <c r="BE5" s="14">
        <v>20</v>
      </c>
      <c r="BF5" s="2">
        <f>34+1</f>
        <v>35</v>
      </c>
      <c r="BG5" s="2">
        <f>34+33</f>
        <v>67</v>
      </c>
      <c r="BH5" s="2">
        <v>5</v>
      </c>
      <c r="BI5" s="6"/>
      <c r="BJ5" s="14">
        <v>19</v>
      </c>
      <c r="BK5" s="2">
        <f>34+17</f>
        <v>51</v>
      </c>
      <c r="BL5" s="2">
        <f>34+32</f>
        <v>66</v>
      </c>
      <c r="BM5" s="2">
        <v>4</v>
      </c>
      <c r="BN5" s="6"/>
      <c r="BO5" s="14">
        <v>18</v>
      </c>
      <c r="BP5" s="2">
        <f>34+16</f>
        <v>50</v>
      </c>
      <c r="BQ5" s="2">
        <f>34+31</f>
        <v>65</v>
      </c>
      <c r="BR5" s="2">
        <v>3</v>
      </c>
      <c r="BS5" s="6"/>
      <c r="BT5" s="14">
        <v>34</v>
      </c>
      <c r="BU5" s="2">
        <f>34+15</f>
        <v>49</v>
      </c>
      <c r="BV5" s="2">
        <f>34+30</f>
        <v>64</v>
      </c>
      <c r="BW5" s="2">
        <v>2</v>
      </c>
      <c r="BX5" s="6"/>
      <c r="BY5" s="14">
        <v>33</v>
      </c>
      <c r="BZ5" s="2">
        <f>34+14</f>
        <v>48</v>
      </c>
      <c r="CA5" s="2">
        <f>34+29</f>
        <v>63</v>
      </c>
      <c r="CB5" s="2">
        <v>1</v>
      </c>
      <c r="CC5" s="6"/>
      <c r="CD5" s="14">
        <v>32</v>
      </c>
      <c r="CE5" s="2">
        <f>34+13</f>
        <v>47</v>
      </c>
      <c r="CF5" s="2">
        <f>34+28</f>
        <v>62</v>
      </c>
      <c r="CG5" s="2">
        <v>17</v>
      </c>
    </row>
    <row r="6" spans="1:90" ht="15" x14ac:dyDescent="0.25">
      <c r="A6" s="4" t="s">
        <v>3</v>
      </c>
      <c r="B6" s="14">
        <f>34+23</f>
        <v>57</v>
      </c>
      <c r="C6" s="2">
        <v>15</v>
      </c>
      <c r="D6" s="2">
        <v>29</v>
      </c>
      <c r="E6" s="2">
        <f>34+9</f>
        <v>43</v>
      </c>
      <c r="F6" s="6"/>
      <c r="G6" s="14">
        <f>34+22</f>
        <v>56</v>
      </c>
      <c r="H6" s="2">
        <v>14</v>
      </c>
      <c r="I6" s="2">
        <v>28</v>
      </c>
      <c r="J6" s="2">
        <f>34+8</f>
        <v>42</v>
      </c>
      <c r="K6" s="6"/>
      <c r="L6" s="14">
        <f>34+21</f>
        <v>55</v>
      </c>
      <c r="M6" s="2">
        <v>13</v>
      </c>
      <c r="N6" s="2">
        <v>27</v>
      </c>
      <c r="O6" s="2">
        <f>34+7</f>
        <v>41</v>
      </c>
      <c r="P6" s="6"/>
      <c r="Q6" s="14">
        <f>34+20</f>
        <v>54</v>
      </c>
      <c r="R6" s="2">
        <v>12</v>
      </c>
      <c r="S6" s="2">
        <v>26</v>
      </c>
      <c r="T6" s="2">
        <f>34+6</f>
        <v>40</v>
      </c>
      <c r="U6" s="6"/>
      <c r="V6" s="14">
        <f>34+19</f>
        <v>53</v>
      </c>
      <c r="W6" s="2">
        <v>11</v>
      </c>
      <c r="X6" s="2">
        <v>25</v>
      </c>
      <c r="Y6" s="2">
        <f>34+5</f>
        <v>39</v>
      </c>
      <c r="Z6" s="6"/>
      <c r="AA6" s="14">
        <f>34+18</f>
        <v>52</v>
      </c>
      <c r="AB6" s="2">
        <v>10</v>
      </c>
      <c r="AC6" s="2">
        <v>24</v>
      </c>
      <c r="AD6" s="2">
        <f>34+4</f>
        <v>38</v>
      </c>
      <c r="AE6" s="6"/>
      <c r="AF6" s="14">
        <f>34+34</f>
        <v>68</v>
      </c>
      <c r="AG6" s="2">
        <v>9</v>
      </c>
      <c r="AH6" s="2">
        <v>23</v>
      </c>
      <c r="AI6" s="2">
        <f>34+3</f>
        <v>37</v>
      </c>
      <c r="AJ6" s="6"/>
      <c r="AK6" s="14">
        <f>34+33</f>
        <v>67</v>
      </c>
      <c r="AL6" s="2">
        <v>8</v>
      </c>
      <c r="AM6" s="2">
        <v>22</v>
      </c>
      <c r="AN6" s="2">
        <f>34+2</f>
        <v>36</v>
      </c>
      <c r="AO6" s="6"/>
      <c r="AP6" s="14">
        <f>34+32</f>
        <v>66</v>
      </c>
      <c r="AQ6" s="2">
        <v>7</v>
      </c>
      <c r="AR6" s="2">
        <v>21</v>
      </c>
      <c r="AS6" s="2">
        <f>34+1</f>
        <v>35</v>
      </c>
      <c r="AT6" s="6"/>
      <c r="AU6" s="14">
        <f>34+31</f>
        <v>65</v>
      </c>
      <c r="AV6" s="2">
        <v>6</v>
      </c>
      <c r="AW6" s="2">
        <v>20</v>
      </c>
      <c r="AX6" s="2">
        <f>34+17</f>
        <v>51</v>
      </c>
      <c r="AY6" s="6"/>
      <c r="AZ6" s="14">
        <f>34+30</f>
        <v>64</v>
      </c>
      <c r="BA6" s="2">
        <v>5</v>
      </c>
      <c r="BB6" s="2">
        <v>19</v>
      </c>
      <c r="BC6" s="2">
        <f>34+16</f>
        <v>50</v>
      </c>
      <c r="BD6" s="6"/>
      <c r="BE6" s="14">
        <f>34+29</f>
        <v>63</v>
      </c>
      <c r="BF6" s="2">
        <v>4</v>
      </c>
      <c r="BG6" s="2">
        <v>18</v>
      </c>
      <c r="BH6" s="2">
        <f>34+15</f>
        <v>49</v>
      </c>
      <c r="BI6" s="6"/>
      <c r="BJ6" s="14">
        <f>34+28</f>
        <v>62</v>
      </c>
      <c r="BK6" s="2">
        <v>3</v>
      </c>
      <c r="BL6" s="2">
        <v>34</v>
      </c>
      <c r="BM6" s="2">
        <f>34+14</f>
        <v>48</v>
      </c>
      <c r="BN6" s="6"/>
      <c r="BO6" s="14">
        <f>34+27</f>
        <v>61</v>
      </c>
      <c r="BP6" s="2">
        <v>2</v>
      </c>
      <c r="BQ6" s="2">
        <v>33</v>
      </c>
      <c r="BR6" s="2">
        <f>34+13</f>
        <v>47</v>
      </c>
      <c r="BS6" s="6"/>
      <c r="BT6" s="14">
        <f>34+26</f>
        <v>60</v>
      </c>
      <c r="BU6" s="2">
        <v>1</v>
      </c>
      <c r="BV6" s="2">
        <v>32</v>
      </c>
      <c r="BW6" s="2">
        <f>34+12</f>
        <v>46</v>
      </c>
      <c r="BX6" s="6"/>
      <c r="BY6" s="14">
        <f>34+25</f>
        <v>59</v>
      </c>
      <c r="BZ6" s="2">
        <v>17</v>
      </c>
      <c r="CA6" s="2">
        <v>31</v>
      </c>
      <c r="CB6" s="2">
        <f>34+11</f>
        <v>45</v>
      </c>
      <c r="CC6" s="6"/>
      <c r="CD6" s="14">
        <f>34+24</f>
        <v>58</v>
      </c>
      <c r="CE6" s="2">
        <v>16</v>
      </c>
      <c r="CF6" s="2">
        <v>30</v>
      </c>
      <c r="CG6" s="2">
        <f>34+10</f>
        <v>44</v>
      </c>
    </row>
    <row r="7" spans="1:90" ht="15" x14ac:dyDescent="0.25">
      <c r="A7" s="4" t="s">
        <v>4</v>
      </c>
      <c r="B7" s="14">
        <v>14</v>
      </c>
      <c r="C7" s="2">
        <v>27</v>
      </c>
      <c r="D7" s="2">
        <f>34+6</f>
        <v>40</v>
      </c>
      <c r="E7" s="2">
        <f>34+19</f>
        <v>53</v>
      </c>
      <c r="F7" s="6"/>
      <c r="G7" s="14">
        <v>13</v>
      </c>
      <c r="H7" s="2">
        <v>26</v>
      </c>
      <c r="I7" s="2">
        <f>34+5</f>
        <v>39</v>
      </c>
      <c r="J7" s="2">
        <f>34+18</f>
        <v>52</v>
      </c>
      <c r="K7" s="6"/>
      <c r="L7" s="14">
        <v>12</v>
      </c>
      <c r="M7" s="2">
        <v>25</v>
      </c>
      <c r="N7" s="2">
        <f>34+4</f>
        <v>38</v>
      </c>
      <c r="O7" s="2">
        <f>34+34</f>
        <v>68</v>
      </c>
      <c r="P7" s="6"/>
      <c r="Q7" s="14">
        <v>11</v>
      </c>
      <c r="R7" s="2">
        <v>24</v>
      </c>
      <c r="S7" s="2">
        <f>34+3</f>
        <v>37</v>
      </c>
      <c r="T7" s="2">
        <f>34+33</f>
        <v>67</v>
      </c>
      <c r="U7" s="6"/>
      <c r="V7" s="14">
        <v>10</v>
      </c>
      <c r="W7" s="2">
        <v>23</v>
      </c>
      <c r="X7" s="2">
        <f>34+2</f>
        <v>36</v>
      </c>
      <c r="Y7" s="2">
        <f>34+32</f>
        <v>66</v>
      </c>
      <c r="Z7" s="6"/>
      <c r="AA7" s="14">
        <v>9</v>
      </c>
      <c r="AB7" s="2">
        <v>22</v>
      </c>
      <c r="AC7" s="2">
        <f>34+1</f>
        <v>35</v>
      </c>
      <c r="AD7" s="2">
        <f>34+31</f>
        <v>65</v>
      </c>
      <c r="AE7" s="6"/>
      <c r="AF7" s="14">
        <v>8</v>
      </c>
      <c r="AG7" s="2">
        <v>21</v>
      </c>
      <c r="AH7" s="2">
        <f>34+17</f>
        <v>51</v>
      </c>
      <c r="AI7" s="2">
        <f>34+30</f>
        <v>64</v>
      </c>
      <c r="AJ7" s="6"/>
      <c r="AK7" s="14">
        <v>7</v>
      </c>
      <c r="AL7" s="2">
        <v>20</v>
      </c>
      <c r="AM7" s="2">
        <f>34+16</f>
        <v>50</v>
      </c>
      <c r="AN7" s="2">
        <f>34+29</f>
        <v>63</v>
      </c>
      <c r="AO7" s="6"/>
      <c r="AP7" s="14">
        <v>6</v>
      </c>
      <c r="AQ7" s="2">
        <v>19</v>
      </c>
      <c r="AR7" s="2">
        <f>34+15</f>
        <v>49</v>
      </c>
      <c r="AS7" s="2">
        <f>34+28</f>
        <v>62</v>
      </c>
      <c r="AT7" s="6"/>
      <c r="AU7" s="14">
        <v>5</v>
      </c>
      <c r="AV7" s="2">
        <v>18</v>
      </c>
      <c r="AW7" s="2">
        <f>34+14</f>
        <v>48</v>
      </c>
      <c r="AX7" s="2">
        <f>34+27</f>
        <v>61</v>
      </c>
      <c r="AY7" s="6"/>
      <c r="AZ7" s="14">
        <v>4</v>
      </c>
      <c r="BA7" s="2">
        <v>34</v>
      </c>
      <c r="BB7" s="2">
        <f>34+13</f>
        <v>47</v>
      </c>
      <c r="BC7" s="2">
        <f>34+26</f>
        <v>60</v>
      </c>
      <c r="BD7" s="6"/>
      <c r="BE7" s="14">
        <v>3</v>
      </c>
      <c r="BF7" s="2">
        <v>33</v>
      </c>
      <c r="BG7" s="2">
        <f>34+12</f>
        <v>46</v>
      </c>
      <c r="BH7" s="2">
        <f>34+25</f>
        <v>59</v>
      </c>
      <c r="BI7" s="6"/>
      <c r="BJ7" s="14">
        <v>2</v>
      </c>
      <c r="BK7" s="2">
        <v>32</v>
      </c>
      <c r="BL7" s="2">
        <f>34+11</f>
        <v>45</v>
      </c>
      <c r="BM7" s="2">
        <f>34+24</f>
        <v>58</v>
      </c>
      <c r="BN7" s="6"/>
      <c r="BO7" s="14">
        <v>1</v>
      </c>
      <c r="BP7" s="2">
        <v>31</v>
      </c>
      <c r="BQ7" s="2">
        <f>34+10</f>
        <v>44</v>
      </c>
      <c r="BR7" s="2">
        <f>34+23</f>
        <v>57</v>
      </c>
      <c r="BS7" s="6"/>
      <c r="BT7" s="14">
        <v>17</v>
      </c>
      <c r="BU7" s="2">
        <v>30</v>
      </c>
      <c r="BV7" s="2">
        <f>34+9</f>
        <v>43</v>
      </c>
      <c r="BW7" s="2">
        <f>34+22</f>
        <v>56</v>
      </c>
      <c r="BX7" s="6"/>
      <c r="BY7" s="14">
        <v>16</v>
      </c>
      <c r="BZ7" s="2">
        <v>29</v>
      </c>
      <c r="CA7" s="2">
        <f>34+8</f>
        <v>42</v>
      </c>
      <c r="CB7" s="2">
        <f>34+21</f>
        <v>55</v>
      </c>
      <c r="CC7" s="6"/>
      <c r="CD7" s="14">
        <v>15</v>
      </c>
      <c r="CE7" s="2">
        <v>28</v>
      </c>
      <c r="CF7" s="2">
        <f>34+7</f>
        <v>41</v>
      </c>
      <c r="CG7" s="2">
        <f>34+20</f>
        <v>54</v>
      </c>
    </row>
    <row r="8" spans="1:90" ht="15" x14ac:dyDescent="0.25">
      <c r="A8" s="4" t="s">
        <v>5</v>
      </c>
      <c r="B8" s="14">
        <f>34+3</f>
        <v>37</v>
      </c>
      <c r="C8" s="2">
        <f>34+32</f>
        <v>66</v>
      </c>
      <c r="D8" s="2">
        <v>13</v>
      </c>
      <c r="E8" s="2">
        <v>25</v>
      </c>
      <c r="F8" s="6"/>
      <c r="G8" s="14">
        <f>34+2</f>
        <v>36</v>
      </c>
      <c r="H8" s="2">
        <f>34+31</f>
        <v>65</v>
      </c>
      <c r="I8" s="2">
        <v>12</v>
      </c>
      <c r="J8" s="2">
        <v>24</v>
      </c>
      <c r="K8" s="6"/>
      <c r="L8" s="14">
        <f>34+1</f>
        <v>35</v>
      </c>
      <c r="M8" s="2">
        <f>34+30</f>
        <v>64</v>
      </c>
      <c r="N8" s="2">
        <v>11</v>
      </c>
      <c r="O8" s="2">
        <v>23</v>
      </c>
      <c r="P8" s="6"/>
      <c r="Q8" s="14">
        <f>34+17</f>
        <v>51</v>
      </c>
      <c r="R8" s="2">
        <f>34+29</f>
        <v>63</v>
      </c>
      <c r="S8" s="2">
        <v>10</v>
      </c>
      <c r="T8" s="2">
        <v>22</v>
      </c>
      <c r="U8" s="6"/>
      <c r="V8" s="14">
        <f>34+16</f>
        <v>50</v>
      </c>
      <c r="W8" s="2">
        <f>34+28</f>
        <v>62</v>
      </c>
      <c r="X8" s="2">
        <v>9</v>
      </c>
      <c r="Y8" s="2">
        <v>21</v>
      </c>
      <c r="Z8" s="6"/>
      <c r="AA8" s="14">
        <f>34+15</f>
        <v>49</v>
      </c>
      <c r="AB8" s="2">
        <f>34+27</f>
        <v>61</v>
      </c>
      <c r="AC8" s="2">
        <v>8</v>
      </c>
      <c r="AD8" s="2">
        <v>20</v>
      </c>
      <c r="AE8" s="6"/>
      <c r="AF8" s="14">
        <f>34+14</f>
        <v>48</v>
      </c>
      <c r="AG8" s="2">
        <f>34+26</f>
        <v>60</v>
      </c>
      <c r="AH8" s="2">
        <v>7</v>
      </c>
      <c r="AI8" s="2">
        <v>19</v>
      </c>
      <c r="AJ8" s="6"/>
      <c r="AK8" s="14">
        <f>34+13</f>
        <v>47</v>
      </c>
      <c r="AL8" s="2">
        <f>34+25</f>
        <v>59</v>
      </c>
      <c r="AM8" s="2">
        <v>6</v>
      </c>
      <c r="AN8" s="2">
        <v>18</v>
      </c>
      <c r="AO8" s="6"/>
      <c r="AP8" s="14">
        <f>34+12</f>
        <v>46</v>
      </c>
      <c r="AQ8" s="2">
        <f>34+24</f>
        <v>58</v>
      </c>
      <c r="AR8" s="2">
        <v>5</v>
      </c>
      <c r="AS8" s="2">
        <v>34</v>
      </c>
      <c r="AT8" s="6"/>
      <c r="AU8" s="14">
        <f>34+11</f>
        <v>45</v>
      </c>
      <c r="AV8" s="2">
        <f>34+23</f>
        <v>57</v>
      </c>
      <c r="AW8" s="2">
        <v>4</v>
      </c>
      <c r="AX8" s="2">
        <v>33</v>
      </c>
      <c r="AY8" s="6"/>
      <c r="AZ8" s="14">
        <f>34+10</f>
        <v>44</v>
      </c>
      <c r="BA8" s="2">
        <f>34+22</f>
        <v>56</v>
      </c>
      <c r="BB8" s="2">
        <v>3</v>
      </c>
      <c r="BC8" s="2">
        <v>32</v>
      </c>
      <c r="BD8" s="6"/>
      <c r="BE8" s="14">
        <f>34+9</f>
        <v>43</v>
      </c>
      <c r="BF8" s="2">
        <f>34+21</f>
        <v>55</v>
      </c>
      <c r="BG8" s="2">
        <v>2</v>
      </c>
      <c r="BH8" s="2">
        <v>31</v>
      </c>
      <c r="BI8" s="6"/>
      <c r="BJ8" s="14">
        <f>34+8</f>
        <v>42</v>
      </c>
      <c r="BK8" s="2">
        <f>34+20</f>
        <v>54</v>
      </c>
      <c r="BL8" s="2">
        <v>1</v>
      </c>
      <c r="BM8" s="2">
        <v>30</v>
      </c>
      <c r="BN8" s="6"/>
      <c r="BO8" s="14">
        <f>34+7</f>
        <v>41</v>
      </c>
      <c r="BP8" s="2">
        <f>34+19</f>
        <v>53</v>
      </c>
      <c r="BQ8" s="2">
        <v>17</v>
      </c>
      <c r="BR8" s="2">
        <v>29</v>
      </c>
      <c r="BS8" s="6"/>
      <c r="BT8" s="14">
        <f>34+6</f>
        <v>40</v>
      </c>
      <c r="BU8" s="2">
        <f>34+18</f>
        <v>52</v>
      </c>
      <c r="BV8" s="2">
        <v>16</v>
      </c>
      <c r="BW8" s="2">
        <v>28</v>
      </c>
      <c r="BX8" s="6"/>
      <c r="BY8" s="14">
        <f>34+5</f>
        <v>39</v>
      </c>
      <c r="BZ8" s="2">
        <f>34+34</f>
        <v>68</v>
      </c>
      <c r="CA8" s="2">
        <v>15</v>
      </c>
      <c r="CB8" s="2">
        <v>27</v>
      </c>
      <c r="CC8" s="6"/>
      <c r="CD8" s="14">
        <f>34+4</f>
        <v>38</v>
      </c>
      <c r="CE8" s="2">
        <f>34+33</f>
        <v>67</v>
      </c>
      <c r="CF8" s="2">
        <v>14</v>
      </c>
      <c r="CG8" s="2">
        <v>26</v>
      </c>
    </row>
    <row r="9" spans="1:90" ht="15" x14ac:dyDescent="0.25">
      <c r="A9" s="4" t="s">
        <v>6</v>
      </c>
      <c r="B9" s="14">
        <v>23</v>
      </c>
      <c r="C9" s="2">
        <f>34+17</f>
        <v>51</v>
      </c>
      <c r="D9" s="2">
        <f>34+28</f>
        <v>62</v>
      </c>
      <c r="E9" s="2">
        <v>12</v>
      </c>
      <c r="F9" s="6"/>
      <c r="G9" s="14">
        <v>22</v>
      </c>
      <c r="H9" s="2">
        <f>34+16</f>
        <v>50</v>
      </c>
      <c r="I9" s="2">
        <f>34+27</f>
        <v>61</v>
      </c>
      <c r="J9" s="2">
        <v>11</v>
      </c>
      <c r="K9" s="6"/>
      <c r="L9" s="14">
        <v>21</v>
      </c>
      <c r="M9" s="2">
        <f>34+15</f>
        <v>49</v>
      </c>
      <c r="N9" s="2">
        <f>34+26</f>
        <v>60</v>
      </c>
      <c r="O9" s="2">
        <v>10</v>
      </c>
      <c r="P9" s="6"/>
      <c r="Q9" s="14">
        <v>20</v>
      </c>
      <c r="R9" s="2">
        <f>34+14</f>
        <v>48</v>
      </c>
      <c r="S9" s="2">
        <f>34+25</f>
        <v>59</v>
      </c>
      <c r="T9" s="2">
        <v>9</v>
      </c>
      <c r="U9" s="6"/>
      <c r="V9" s="14">
        <v>19</v>
      </c>
      <c r="W9" s="2">
        <f>34+13</f>
        <v>47</v>
      </c>
      <c r="X9" s="2">
        <f>34+24</f>
        <v>58</v>
      </c>
      <c r="Y9" s="2">
        <v>8</v>
      </c>
      <c r="Z9" s="6"/>
      <c r="AA9" s="14">
        <v>18</v>
      </c>
      <c r="AB9" s="2">
        <f>34+12</f>
        <v>46</v>
      </c>
      <c r="AC9" s="2">
        <f>34+23</f>
        <v>57</v>
      </c>
      <c r="AD9" s="2">
        <v>7</v>
      </c>
      <c r="AE9" s="6"/>
      <c r="AF9" s="14">
        <v>34</v>
      </c>
      <c r="AG9" s="2">
        <f>34+11</f>
        <v>45</v>
      </c>
      <c r="AH9" s="2">
        <f>34+22</f>
        <v>56</v>
      </c>
      <c r="AI9" s="2">
        <v>6</v>
      </c>
      <c r="AJ9" s="6"/>
      <c r="AK9" s="14">
        <v>33</v>
      </c>
      <c r="AL9" s="2">
        <f>34+10</f>
        <v>44</v>
      </c>
      <c r="AM9" s="2">
        <f>34+21</f>
        <v>55</v>
      </c>
      <c r="AN9" s="2">
        <v>5</v>
      </c>
      <c r="AO9" s="6"/>
      <c r="AP9" s="14">
        <v>32</v>
      </c>
      <c r="AQ9" s="2">
        <f>34+9</f>
        <v>43</v>
      </c>
      <c r="AR9" s="2">
        <f>34+20</f>
        <v>54</v>
      </c>
      <c r="AS9" s="2">
        <v>4</v>
      </c>
      <c r="AT9" s="6"/>
      <c r="AU9" s="14">
        <v>31</v>
      </c>
      <c r="AV9" s="2">
        <f>34+8</f>
        <v>42</v>
      </c>
      <c r="AW9" s="2">
        <f>34+19</f>
        <v>53</v>
      </c>
      <c r="AX9" s="2">
        <v>3</v>
      </c>
      <c r="AY9" s="6"/>
      <c r="AZ9" s="14">
        <v>30</v>
      </c>
      <c r="BA9" s="2">
        <f>34+7</f>
        <v>41</v>
      </c>
      <c r="BB9" s="2">
        <f>34+18</f>
        <v>52</v>
      </c>
      <c r="BC9" s="2">
        <v>2</v>
      </c>
      <c r="BD9" s="6"/>
      <c r="BE9" s="14">
        <v>29</v>
      </c>
      <c r="BF9" s="2">
        <f>34+6</f>
        <v>40</v>
      </c>
      <c r="BG9" s="2">
        <f>34+34</f>
        <v>68</v>
      </c>
      <c r="BH9" s="2">
        <v>1</v>
      </c>
      <c r="BI9" s="6"/>
      <c r="BJ9" s="14">
        <v>28</v>
      </c>
      <c r="BK9" s="2">
        <f>34+5</f>
        <v>39</v>
      </c>
      <c r="BL9" s="2">
        <f>34+33</f>
        <v>67</v>
      </c>
      <c r="BM9" s="2">
        <v>17</v>
      </c>
      <c r="BN9" s="6"/>
      <c r="BO9" s="14">
        <v>27</v>
      </c>
      <c r="BP9" s="2">
        <f>34+4</f>
        <v>38</v>
      </c>
      <c r="BQ9" s="2">
        <f>34+32</f>
        <v>66</v>
      </c>
      <c r="BR9" s="2">
        <v>16</v>
      </c>
      <c r="BS9" s="6"/>
      <c r="BT9" s="14">
        <v>26</v>
      </c>
      <c r="BU9" s="2">
        <f>34+3</f>
        <v>37</v>
      </c>
      <c r="BV9" s="2">
        <f>34+31</f>
        <v>65</v>
      </c>
      <c r="BW9" s="2">
        <v>15</v>
      </c>
      <c r="BX9" s="6"/>
      <c r="BY9" s="14">
        <v>25</v>
      </c>
      <c r="BZ9" s="2">
        <f>34+2</f>
        <v>36</v>
      </c>
      <c r="CA9" s="2">
        <f>34+30</f>
        <v>64</v>
      </c>
      <c r="CB9" s="2">
        <v>14</v>
      </c>
      <c r="CC9" s="6"/>
      <c r="CD9" s="14">
        <v>24</v>
      </c>
      <c r="CE9" s="2">
        <f>34+1</f>
        <v>35</v>
      </c>
      <c r="CF9" s="2">
        <f>34+29</f>
        <v>63</v>
      </c>
      <c r="CG9" s="2">
        <v>13</v>
      </c>
    </row>
    <row r="10" spans="1:90" ht="15" x14ac:dyDescent="0.25">
      <c r="A10" s="4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</row>
    <row r="11" spans="1:90" ht="15" x14ac:dyDescent="0.25">
      <c r="A11" s="4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</row>
    <row r="12" spans="1:90" ht="15" x14ac:dyDescent="0.25">
      <c r="A12" s="4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I12" s="15"/>
      <c r="CJ12" s="15"/>
      <c r="CK12" s="15"/>
      <c r="CL12" s="15"/>
    </row>
    <row r="13" spans="1:90" ht="15" x14ac:dyDescent="0.25">
      <c r="A13" s="1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</row>
    <row r="14" spans="1:90" ht="15" x14ac:dyDescent="0.25">
      <c r="A14" s="1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</row>
    <row r="15" spans="1:90" ht="15" x14ac:dyDescent="0.25">
      <c r="A15" s="1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</row>
    <row r="16" spans="1:90" ht="15" x14ac:dyDescent="0.25">
      <c r="A16" s="1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</row>
    <row r="17" spans="1:90" ht="15" x14ac:dyDescent="0.25">
      <c r="A17" s="1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</row>
    <row r="18" spans="1:90" ht="15" x14ac:dyDescent="0.25">
      <c r="A18" s="1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</row>
    <row r="19" spans="1:90" ht="15" x14ac:dyDescent="0.25">
      <c r="A19" s="1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</row>
    <row r="20" spans="1:90" ht="15" x14ac:dyDescent="0.25">
      <c r="A20" s="1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</row>
    <row r="21" spans="1:90" ht="15" x14ac:dyDescent="0.25">
      <c r="A21" s="1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</row>
    <row r="22" spans="1:90" ht="15" x14ac:dyDescent="0.25">
      <c r="A22" s="1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</row>
    <row r="23" spans="1:90" ht="15" x14ac:dyDescent="0.25">
      <c r="A23" s="1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</row>
    <row r="24" spans="1:90" ht="15" x14ac:dyDescent="0.25">
      <c r="A24" s="1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</row>
    <row r="25" spans="1:90" ht="15" x14ac:dyDescent="0.25">
      <c r="A25" s="1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</row>
    <row r="26" spans="1:90" ht="15" x14ac:dyDescent="0.25">
      <c r="A26" s="1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</row>
    <row r="27" spans="1:90" ht="15" x14ac:dyDescent="0.25">
      <c r="A27" s="1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</row>
    <row r="28" spans="1:90" ht="15" x14ac:dyDescent="0.25">
      <c r="A28" s="1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</row>
    <row r="29" spans="1:90" ht="15" x14ac:dyDescent="0.25">
      <c r="A29" s="1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</row>
    <row r="30" spans="1:90" ht="15" x14ac:dyDescent="0.25">
      <c r="A30" s="1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</row>
    <row r="31" spans="1:90" ht="15" x14ac:dyDescent="0.25">
      <c r="A31" s="1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</row>
    <row r="32" spans="1:90" ht="15" x14ac:dyDescent="0.25">
      <c r="A32" s="1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</row>
    <row r="33" spans="1:90" ht="15" x14ac:dyDescent="0.25">
      <c r="A33" s="1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</row>
    <row r="34" spans="1:90" ht="15" x14ac:dyDescent="0.25">
      <c r="A34" s="1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</row>
    <row r="35" spans="1:90" ht="15" x14ac:dyDescent="0.25">
      <c r="A35" s="1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</row>
    <row r="36" spans="1:90" ht="15" x14ac:dyDescent="0.25">
      <c r="A36" s="1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</row>
    <row r="37" spans="1:90" ht="15" x14ac:dyDescent="0.25">
      <c r="A37" s="1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</row>
    <row r="38" spans="1:90" ht="15" x14ac:dyDescent="0.25">
      <c r="A38" s="1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</row>
    <row r="39" spans="1:90" ht="15" x14ac:dyDescent="0.25">
      <c r="A39" s="1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</row>
    <row r="40" spans="1:90" ht="15" x14ac:dyDescent="0.25">
      <c r="A40" s="1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</row>
    <row r="41" spans="1:90" ht="15" x14ac:dyDescent="0.25">
      <c r="A41" s="1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</row>
    <row r="42" spans="1:90" ht="15" x14ac:dyDescent="0.25">
      <c r="A42" s="1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</row>
    <row r="43" spans="1:90" ht="15" x14ac:dyDescent="0.25">
      <c r="A43" s="1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</row>
    <row r="44" spans="1:90" ht="15" x14ac:dyDescent="0.25">
      <c r="A44" s="1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</row>
    <row r="45" spans="1:90" ht="15" x14ac:dyDescent="0.25">
      <c r="A45" s="1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</row>
    <row r="46" spans="1:90" ht="15" x14ac:dyDescent="0.25">
      <c r="A46" s="1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</row>
    <row r="47" spans="1:90" ht="15" x14ac:dyDescent="0.25">
      <c r="A47" s="1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</row>
    <row r="48" spans="1:90" ht="15" x14ac:dyDescent="0.25">
      <c r="A48" s="1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</row>
    <row r="49" spans="1:90" ht="15" x14ac:dyDescent="0.25">
      <c r="A49" s="1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</row>
    <row r="50" spans="1:90" ht="15" x14ac:dyDescent="0.25">
      <c r="A50" s="1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</row>
    <row r="51" spans="1:90" ht="15" x14ac:dyDescent="0.25">
      <c r="A51" s="1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</row>
    <row r="52" spans="1:90" ht="15" x14ac:dyDescent="0.25">
      <c r="A52" s="1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</row>
    <row r="53" spans="1:90" ht="15" x14ac:dyDescent="0.25">
      <c r="A53" s="1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</row>
    <row r="54" spans="1:90" ht="15" x14ac:dyDescent="0.25">
      <c r="A54" s="1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</row>
    <row r="55" spans="1:90" ht="15" x14ac:dyDescent="0.25">
      <c r="A55" s="1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</row>
    <row r="56" spans="1:90" ht="15" x14ac:dyDescent="0.25">
      <c r="A56" s="1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</row>
    <row r="57" spans="1:90" ht="15" x14ac:dyDescent="0.25">
      <c r="A57" s="1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</row>
    <row r="58" spans="1:90" ht="15" x14ac:dyDescent="0.25">
      <c r="A58" s="1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</row>
    <row r="59" spans="1:90" ht="15" x14ac:dyDescent="0.25">
      <c r="A59" s="1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</row>
    <row r="60" spans="1:90" ht="15" x14ac:dyDescent="0.25">
      <c r="A60" s="1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</row>
    <row r="61" spans="1:90" ht="15" x14ac:dyDescent="0.25">
      <c r="A61" s="1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</row>
    <row r="62" spans="1:90" ht="15" x14ac:dyDescent="0.25">
      <c r="A62" s="1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</row>
    <row r="63" spans="1:90" ht="15" x14ac:dyDescent="0.25">
      <c r="A63" s="1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</row>
    <row r="64" spans="1:90" ht="15" x14ac:dyDescent="0.25">
      <c r="A64" s="1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</row>
    <row r="65" spans="1:90" ht="15" x14ac:dyDescent="0.25">
      <c r="A65" s="1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</row>
    <row r="66" spans="1:90" ht="15" x14ac:dyDescent="0.25">
      <c r="A66" s="1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</row>
    <row r="67" spans="1:90" ht="15" x14ac:dyDescent="0.25">
      <c r="A67" s="1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</row>
    <row r="68" spans="1:90" ht="15" x14ac:dyDescent="0.25">
      <c r="A68" s="1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</row>
    <row r="69" spans="1:90" ht="15" x14ac:dyDescent="0.25">
      <c r="A69" s="1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</row>
    <row r="70" spans="1:90" ht="15" x14ac:dyDescent="0.25">
      <c r="A70" s="1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</row>
    <row r="71" spans="1:90" ht="15" x14ac:dyDescent="0.25">
      <c r="A71" s="1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</row>
    <row r="72" spans="1:90" ht="15" x14ac:dyDescent="0.25">
      <c r="A72" s="1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</row>
    <row r="73" spans="1:90" ht="15" x14ac:dyDescent="0.25">
      <c r="A73" s="1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</row>
    <row r="74" spans="1:90" ht="15" x14ac:dyDescent="0.25">
      <c r="A74" s="1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</row>
    <row r="75" spans="1:90" ht="15" x14ac:dyDescent="0.25">
      <c r="A75" s="1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</row>
    <row r="76" spans="1:90" ht="15" x14ac:dyDescent="0.25">
      <c r="A76" s="1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</row>
    <row r="77" spans="1:90" ht="15" x14ac:dyDescent="0.25">
      <c r="A77" s="1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</row>
    <row r="78" spans="1:90" ht="15" x14ac:dyDescent="0.25">
      <c r="A78" s="1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</row>
    <row r="79" spans="1:90" ht="15" x14ac:dyDescent="0.25">
      <c r="A79" s="1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</row>
    <row r="80" spans="1:90" ht="15" x14ac:dyDescent="0.25">
      <c r="A80" s="1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</row>
  </sheetData>
  <mergeCells count="17">
    <mergeCell ref="BJ1:BM1"/>
    <mergeCell ref="BO1:BR1"/>
    <mergeCell ref="BT1:BW1"/>
    <mergeCell ref="BY1:CB1"/>
    <mergeCell ref="CD1:CG1"/>
    <mergeCell ref="BE1:BH1"/>
    <mergeCell ref="B1:E1"/>
    <mergeCell ref="G1:J1"/>
    <mergeCell ref="L1:O1"/>
    <mergeCell ref="Q1:T1"/>
    <mergeCell ref="V1:Y1"/>
    <mergeCell ref="AA1:AD1"/>
    <mergeCell ref="AF1:AI1"/>
    <mergeCell ref="AK1:AN1"/>
    <mergeCell ref="AP1:AS1"/>
    <mergeCell ref="AU1:AX1"/>
    <mergeCell ref="AZ1:BC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4"/>
  <sheetViews>
    <sheetView zoomScale="70" zoomScaleNormal="70" workbookViewId="0">
      <selection activeCell="A11" sqref="A11:XFD339"/>
    </sheetView>
  </sheetViews>
  <sheetFormatPr defaultColWidth="9.140625" defaultRowHeight="12.75" x14ac:dyDescent="0.2"/>
  <cols>
    <col min="1" max="1" width="9.140625" style="2"/>
    <col min="2" max="5" width="4" style="2" bestFit="1" customWidth="1"/>
    <col min="6" max="6" width="4" style="2" customWidth="1"/>
    <col min="7" max="10" width="4" style="2" bestFit="1" customWidth="1"/>
    <col min="11" max="11" width="4" style="2" customWidth="1"/>
    <col min="12" max="15" width="4" style="2" bestFit="1" customWidth="1"/>
    <col min="16" max="16" width="4" style="2" customWidth="1"/>
    <col min="17" max="20" width="4" style="2" bestFit="1" customWidth="1"/>
    <col min="21" max="21" width="4" style="2" customWidth="1"/>
    <col min="22" max="25" width="4" style="2" bestFit="1" customWidth="1"/>
    <col min="26" max="26" width="4" style="2" customWidth="1"/>
    <col min="27" max="30" width="4" style="2" bestFit="1" customWidth="1"/>
    <col min="31" max="31" width="4" style="2" customWidth="1"/>
    <col min="32" max="35" width="4" style="2" bestFit="1" customWidth="1"/>
    <col min="36" max="36" width="4" style="2" customWidth="1"/>
    <col min="37" max="40" width="4" style="2" bestFit="1" customWidth="1"/>
    <col min="41" max="41" width="4" style="2" customWidth="1"/>
    <col min="42" max="45" width="4" style="2" bestFit="1" customWidth="1"/>
    <col min="46" max="46" width="4" style="2" customWidth="1"/>
    <col min="47" max="50" width="4" style="2" bestFit="1" customWidth="1"/>
    <col min="51" max="51" width="4" style="2" customWidth="1"/>
    <col min="52" max="55" width="4" style="2" bestFit="1" customWidth="1"/>
    <col min="56" max="56" width="4" style="2" customWidth="1"/>
    <col min="57" max="60" width="4" style="2" bestFit="1" customWidth="1"/>
    <col min="61" max="61" width="4" style="2" customWidth="1"/>
    <col min="62" max="65" width="4" style="2" bestFit="1" customWidth="1"/>
    <col min="66" max="66" width="4" style="2" customWidth="1"/>
    <col min="67" max="70" width="4" style="2" bestFit="1" customWidth="1"/>
    <col min="71" max="71" width="4" style="2" customWidth="1"/>
    <col min="72" max="75" width="4" style="2" bestFit="1" customWidth="1"/>
    <col min="76" max="76" width="4" style="2" customWidth="1"/>
    <col min="77" max="80" width="4" style="2" bestFit="1" customWidth="1"/>
    <col min="81" max="81" width="4" style="2" customWidth="1"/>
    <col min="82" max="85" width="4" style="2" bestFit="1" customWidth="1"/>
    <col min="86" max="86" width="4" style="2" customWidth="1"/>
    <col min="87" max="90" width="4" style="2" bestFit="1" customWidth="1"/>
    <col min="91" max="91" width="9.140625" style="2"/>
    <col min="92" max="92" width="6.28515625" style="2" bestFit="1" customWidth="1"/>
    <col min="93" max="93" width="7.7109375" style="2" bestFit="1" customWidth="1"/>
    <col min="94" max="94" width="7" style="2" bestFit="1" customWidth="1"/>
    <col min="95" max="95" width="7.7109375" style="2" bestFit="1" customWidth="1"/>
    <col min="96" max="16384" width="9.140625" style="2"/>
  </cols>
  <sheetData>
    <row r="1" spans="1:95" s="5" customFormat="1" x14ac:dyDescent="0.2">
      <c r="B1" s="18" t="s">
        <v>7</v>
      </c>
      <c r="C1" s="18"/>
      <c r="D1" s="18"/>
      <c r="E1" s="18"/>
      <c r="G1" s="18" t="s">
        <v>8</v>
      </c>
      <c r="H1" s="18"/>
      <c r="I1" s="18"/>
      <c r="J1" s="18"/>
      <c r="L1" s="18" t="s">
        <v>9</v>
      </c>
      <c r="M1" s="18"/>
      <c r="N1" s="18"/>
      <c r="O1" s="18"/>
      <c r="Q1" s="18" t="s">
        <v>10</v>
      </c>
      <c r="R1" s="18"/>
      <c r="S1" s="18"/>
      <c r="T1" s="18"/>
      <c r="V1" s="18" t="s">
        <v>11</v>
      </c>
      <c r="W1" s="18"/>
      <c r="X1" s="18"/>
      <c r="Y1" s="18"/>
      <c r="AA1" s="18" t="s">
        <v>12</v>
      </c>
      <c r="AB1" s="18"/>
      <c r="AC1" s="18"/>
      <c r="AD1" s="18"/>
      <c r="AF1" s="18" t="s">
        <v>13</v>
      </c>
      <c r="AG1" s="18"/>
      <c r="AH1" s="18"/>
      <c r="AI1" s="18"/>
      <c r="AK1" s="18" t="s">
        <v>14</v>
      </c>
      <c r="AL1" s="18"/>
      <c r="AM1" s="18"/>
      <c r="AN1" s="18"/>
      <c r="AP1" s="18" t="s">
        <v>15</v>
      </c>
      <c r="AQ1" s="18"/>
      <c r="AR1" s="18"/>
      <c r="AS1" s="18"/>
      <c r="AU1" s="18" t="s">
        <v>16</v>
      </c>
      <c r="AV1" s="18"/>
      <c r="AW1" s="18"/>
      <c r="AX1" s="18"/>
      <c r="AZ1" s="18" t="s">
        <v>17</v>
      </c>
      <c r="BA1" s="18"/>
      <c r="BB1" s="18"/>
      <c r="BC1" s="18"/>
      <c r="BE1" s="18" t="s">
        <v>18</v>
      </c>
      <c r="BF1" s="18"/>
      <c r="BG1" s="18"/>
      <c r="BH1" s="18"/>
      <c r="BJ1" s="18" t="s">
        <v>19</v>
      </c>
      <c r="BK1" s="18"/>
      <c r="BL1" s="18"/>
      <c r="BM1" s="18"/>
      <c r="BO1" s="18" t="s">
        <v>20</v>
      </c>
      <c r="BP1" s="18"/>
      <c r="BQ1" s="18"/>
      <c r="BR1" s="18"/>
      <c r="BT1" s="18" t="s">
        <v>21</v>
      </c>
      <c r="BU1" s="18"/>
      <c r="BV1" s="18"/>
      <c r="BW1" s="18"/>
      <c r="BY1" s="18" t="s">
        <v>22</v>
      </c>
      <c r="BZ1" s="18"/>
      <c r="CA1" s="18"/>
      <c r="CB1" s="18"/>
      <c r="CD1" s="18" t="s">
        <v>23</v>
      </c>
      <c r="CE1" s="18"/>
      <c r="CF1" s="18"/>
      <c r="CG1" s="18"/>
      <c r="CI1" s="18" t="s">
        <v>24</v>
      </c>
      <c r="CJ1" s="18"/>
      <c r="CK1" s="18"/>
      <c r="CL1" s="18"/>
    </row>
    <row r="2" spans="1:95" s="8" customFormat="1" x14ac:dyDescent="0.2">
      <c r="B2" s="8" t="s">
        <v>25</v>
      </c>
      <c r="C2" s="8" t="s">
        <v>26</v>
      </c>
      <c r="D2" s="8" t="s">
        <v>27</v>
      </c>
      <c r="E2" s="8" t="s">
        <v>28</v>
      </c>
      <c r="G2" s="8" t="s">
        <v>25</v>
      </c>
      <c r="H2" s="8" t="s">
        <v>26</v>
      </c>
      <c r="I2" s="8" t="s">
        <v>27</v>
      </c>
      <c r="J2" s="8" t="s">
        <v>28</v>
      </c>
      <c r="L2" s="8" t="s">
        <v>25</v>
      </c>
      <c r="M2" s="8" t="s">
        <v>26</v>
      </c>
      <c r="N2" s="8" t="s">
        <v>27</v>
      </c>
      <c r="O2" s="8" t="s">
        <v>28</v>
      </c>
      <c r="Q2" s="8" t="s">
        <v>25</v>
      </c>
      <c r="R2" s="8" t="s">
        <v>26</v>
      </c>
      <c r="S2" s="8" t="s">
        <v>27</v>
      </c>
      <c r="T2" s="8" t="s">
        <v>28</v>
      </c>
      <c r="V2" s="8" t="s">
        <v>25</v>
      </c>
      <c r="W2" s="8" t="s">
        <v>26</v>
      </c>
      <c r="X2" s="8" t="s">
        <v>27</v>
      </c>
      <c r="Y2" s="8" t="s">
        <v>28</v>
      </c>
      <c r="AA2" s="8" t="s">
        <v>25</v>
      </c>
      <c r="AB2" s="8" t="s">
        <v>26</v>
      </c>
      <c r="AC2" s="8" t="s">
        <v>27</v>
      </c>
      <c r="AD2" s="8" t="s">
        <v>28</v>
      </c>
      <c r="AF2" s="8" t="s">
        <v>25</v>
      </c>
      <c r="AG2" s="8" t="s">
        <v>26</v>
      </c>
      <c r="AH2" s="8" t="s">
        <v>27</v>
      </c>
      <c r="AI2" s="8" t="s">
        <v>28</v>
      </c>
      <c r="AK2" s="8" t="s">
        <v>25</v>
      </c>
      <c r="AL2" s="8" t="s">
        <v>26</v>
      </c>
      <c r="AM2" s="8" t="s">
        <v>27</v>
      </c>
      <c r="AN2" s="8" t="s">
        <v>28</v>
      </c>
      <c r="AP2" s="8" t="s">
        <v>25</v>
      </c>
      <c r="AQ2" s="8" t="s">
        <v>26</v>
      </c>
      <c r="AR2" s="8" t="s">
        <v>27</v>
      </c>
      <c r="AS2" s="8" t="s">
        <v>28</v>
      </c>
      <c r="AU2" s="8" t="s">
        <v>25</v>
      </c>
      <c r="AV2" s="8" t="s">
        <v>26</v>
      </c>
      <c r="AW2" s="8" t="s">
        <v>27</v>
      </c>
      <c r="AX2" s="8" t="s">
        <v>28</v>
      </c>
      <c r="AZ2" s="8" t="s">
        <v>25</v>
      </c>
      <c r="BA2" s="8" t="s">
        <v>26</v>
      </c>
      <c r="BB2" s="8" t="s">
        <v>27</v>
      </c>
      <c r="BC2" s="8" t="s">
        <v>28</v>
      </c>
      <c r="BE2" s="8" t="s">
        <v>25</v>
      </c>
      <c r="BF2" s="8" t="s">
        <v>26</v>
      </c>
      <c r="BG2" s="8" t="s">
        <v>27</v>
      </c>
      <c r="BH2" s="8" t="s">
        <v>28</v>
      </c>
      <c r="BJ2" s="8" t="s">
        <v>25</v>
      </c>
      <c r="BK2" s="8" t="s">
        <v>26</v>
      </c>
      <c r="BL2" s="8" t="s">
        <v>27</v>
      </c>
      <c r="BM2" s="8" t="s">
        <v>28</v>
      </c>
      <c r="BO2" s="8" t="s">
        <v>25</v>
      </c>
      <c r="BP2" s="8" t="s">
        <v>26</v>
      </c>
      <c r="BQ2" s="8" t="s">
        <v>27</v>
      </c>
      <c r="BR2" s="8" t="s">
        <v>28</v>
      </c>
      <c r="BT2" s="8" t="s">
        <v>25</v>
      </c>
      <c r="BU2" s="8" t="s">
        <v>26</v>
      </c>
      <c r="BV2" s="8" t="s">
        <v>27</v>
      </c>
      <c r="BW2" s="8" t="s">
        <v>28</v>
      </c>
      <c r="BY2" s="8" t="s">
        <v>25</v>
      </c>
      <c r="BZ2" s="8" t="s">
        <v>26</v>
      </c>
      <c r="CA2" s="8" t="s">
        <v>27</v>
      </c>
      <c r="CB2" s="8" t="s">
        <v>28</v>
      </c>
      <c r="CD2" s="8" t="s">
        <v>25</v>
      </c>
      <c r="CE2" s="8" t="s">
        <v>26</v>
      </c>
      <c r="CF2" s="8" t="s">
        <v>27</v>
      </c>
      <c r="CG2" s="8" t="s">
        <v>28</v>
      </c>
      <c r="CI2" s="8" t="s">
        <v>25</v>
      </c>
      <c r="CJ2" s="8" t="s">
        <v>26</v>
      </c>
      <c r="CK2" s="8" t="s">
        <v>27</v>
      </c>
      <c r="CL2" s="8" t="s">
        <v>28</v>
      </c>
    </row>
    <row r="3" spans="1:95" ht="15" x14ac:dyDescent="0.25">
      <c r="A3" s="5" t="s">
        <v>0</v>
      </c>
      <c r="B3" s="14">
        <v>1</v>
      </c>
      <c r="C3" s="2">
        <v>19</v>
      </c>
      <c r="D3" s="2">
        <f>36+1</f>
        <v>37</v>
      </c>
      <c r="E3" s="2">
        <f>36+19</f>
        <v>55</v>
      </c>
      <c r="F3" s="6"/>
      <c r="G3" s="14">
        <v>4</v>
      </c>
      <c r="H3" s="2">
        <v>26</v>
      </c>
      <c r="I3" s="2">
        <f>36+9</f>
        <v>45</v>
      </c>
      <c r="J3" s="2">
        <f>36+24</f>
        <v>60</v>
      </c>
      <c r="K3" s="6"/>
      <c r="L3" s="14">
        <v>7</v>
      </c>
      <c r="M3" s="2">
        <v>24</v>
      </c>
      <c r="N3" s="2">
        <f>36+5</f>
        <v>41</v>
      </c>
      <c r="O3" s="2">
        <f>36+26</f>
        <v>62</v>
      </c>
      <c r="P3" s="6"/>
      <c r="Q3" s="14">
        <v>17</v>
      </c>
      <c r="R3" s="2">
        <v>31</v>
      </c>
      <c r="S3" s="2">
        <f>36+15</f>
        <v>51</v>
      </c>
      <c r="T3" s="2">
        <f>36+23</f>
        <v>59</v>
      </c>
      <c r="U3" s="6"/>
      <c r="V3" s="14">
        <v>11</v>
      </c>
      <c r="W3" s="2">
        <v>29</v>
      </c>
      <c r="X3" s="2">
        <f>36+11</f>
        <v>47</v>
      </c>
      <c r="Y3" s="2">
        <f>36+25</f>
        <v>61</v>
      </c>
      <c r="Z3" s="6"/>
      <c r="AA3" s="14">
        <v>14</v>
      </c>
      <c r="AB3" s="2">
        <v>36</v>
      </c>
      <c r="AC3" s="2">
        <f>36+16</f>
        <v>52</v>
      </c>
      <c r="AD3" s="2">
        <f>36+21</f>
        <v>57</v>
      </c>
      <c r="AE3" s="6"/>
      <c r="AF3" s="14">
        <v>2</v>
      </c>
      <c r="AG3" s="2">
        <v>35</v>
      </c>
      <c r="AH3" s="2">
        <f>36+12</f>
        <v>48</v>
      </c>
      <c r="AI3" s="2">
        <f>36+35</f>
        <v>71</v>
      </c>
      <c r="AJ3" s="6"/>
      <c r="AK3" s="14">
        <v>5</v>
      </c>
      <c r="AL3" s="2">
        <v>33</v>
      </c>
      <c r="AM3" s="2">
        <f>36+17</f>
        <v>53</v>
      </c>
      <c r="AN3" s="2">
        <f>36+28</f>
        <v>64</v>
      </c>
      <c r="AO3" s="6"/>
      <c r="AP3" s="14">
        <v>8</v>
      </c>
      <c r="AQ3" s="2">
        <v>28</v>
      </c>
      <c r="AR3" s="2">
        <f>36+13</f>
        <v>49</v>
      </c>
      <c r="AS3" s="2">
        <f>36+33</f>
        <v>69</v>
      </c>
      <c r="AT3" s="6"/>
      <c r="AU3" s="14">
        <v>12</v>
      </c>
      <c r="AV3" s="2">
        <v>21</v>
      </c>
      <c r="AW3" s="2">
        <f>36+10</f>
        <v>46</v>
      </c>
      <c r="AX3" s="2">
        <f>36+22</f>
        <v>58</v>
      </c>
      <c r="AY3" s="6"/>
      <c r="AZ3" s="14">
        <v>15</v>
      </c>
      <c r="BA3" s="2">
        <v>25</v>
      </c>
      <c r="BB3" s="2">
        <f>36+18</f>
        <v>54</v>
      </c>
      <c r="BC3" s="2">
        <f>36+27</f>
        <v>63</v>
      </c>
      <c r="BD3" s="6"/>
      <c r="BE3" s="14">
        <v>18</v>
      </c>
      <c r="BF3" s="2">
        <v>23</v>
      </c>
      <c r="BG3" s="2">
        <f>36+14</f>
        <v>50</v>
      </c>
      <c r="BH3" s="2">
        <f>36+20</f>
        <v>56</v>
      </c>
      <c r="BI3" s="6"/>
      <c r="BJ3" s="14">
        <v>16</v>
      </c>
      <c r="BK3" s="2">
        <v>32</v>
      </c>
      <c r="BL3" s="2">
        <f>36+8</f>
        <v>44</v>
      </c>
      <c r="BM3" s="2">
        <f>36+36</f>
        <v>72</v>
      </c>
      <c r="BN3" s="6"/>
      <c r="BO3" s="14">
        <v>10</v>
      </c>
      <c r="BP3" s="2">
        <v>30</v>
      </c>
      <c r="BQ3" s="2">
        <f>36+4</f>
        <v>40</v>
      </c>
      <c r="BR3" s="2">
        <f>36+29</f>
        <v>65</v>
      </c>
      <c r="BS3" s="6"/>
      <c r="BT3" s="14">
        <v>13</v>
      </c>
      <c r="BU3" s="2">
        <v>34</v>
      </c>
      <c r="BV3" s="2">
        <f>36+3</f>
        <v>39</v>
      </c>
      <c r="BW3" s="2">
        <f>36+31</f>
        <v>67</v>
      </c>
      <c r="BX3" s="6"/>
      <c r="BY3" s="14">
        <v>3</v>
      </c>
      <c r="BZ3" s="2">
        <v>20</v>
      </c>
      <c r="CA3" s="2">
        <f>36+6</f>
        <v>42</v>
      </c>
      <c r="CB3" s="2">
        <f>36+32</f>
        <v>68</v>
      </c>
      <c r="CC3" s="6"/>
      <c r="CD3" s="14">
        <v>6</v>
      </c>
      <c r="CE3" s="2">
        <v>27</v>
      </c>
      <c r="CF3" s="2">
        <f>36+2</f>
        <v>38</v>
      </c>
      <c r="CG3" s="2">
        <f>36+34</f>
        <v>70</v>
      </c>
      <c r="CH3" s="6"/>
      <c r="CI3" s="14">
        <v>9</v>
      </c>
      <c r="CJ3" s="2">
        <v>22</v>
      </c>
      <c r="CK3" s="2">
        <f>36+7</f>
        <v>43</v>
      </c>
      <c r="CL3" s="2">
        <f>36+30</f>
        <v>66</v>
      </c>
    </row>
    <row r="4" spans="1:95" ht="15" x14ac:dyDescent="0.25">
      <c r="A4" s="5" t="s">
        <v>1</v>
      </c>
      <c r="B4" s="14">
        <f>36+6</f>
        <v>42</v>
      </c>
      <c r="C4" s="2">
        <f>36+27</f>
        <v>63</v>
      </c>
      <c r="D4" s="2">
        <v>8</v>
      </c>
      <c r="E4" s="2">
        <v>22</v>
      </c>
      <c r="F4" s="6"/>
      <c r="G4" s="14">
        <f>36+2</f>
        <v>38</v>
      </c>
      <c r="H4" s="2">
        <f>36+20</f>
        <v>56</v>
      </c>
      <c r="I4" s="2">
        <v>2</v>
      </c>
      <c r="J4" s="2">
        <v>20</v>
      </c>
      <c r="K4" s="6"/>
      <c r="L4" s="14">
        <f>36+7</f>
        <v>43</v>
      </c>
      <c r="M4" s="2">
        <f>36+22</f>
        <v>58</v>
      </c>
      <c r="N4" s="2">
        <v>5</v>
      </c>
      <c r="O4" s="2">
        <v>27</v>
      </c>
      <c r="P4" s="6"/>
      <c r="Q4" s="14">
        <f>36+17</f>
        <v>53</v>
      </c>
      <c r="R4" s="2">
        <f>36+19</f>
        <v>55</v>
      </c>
      <c r="S4" s="2">
        <v>15</v>
      </c>
      <c r="T4" s="2">
        <v>34</v>
      </c>
      <c r="U4" s="6"/>
      <c r="V4" s="14">
        <f>36+13</f>
        <v>49</v>
      </c>
      <c r="W4" s="2">
        <f>36+24</f>
        <v>60</v>
      </c>
      <c r="X4" s="2">
        <v>18</v>
      </c>
      <c r="Y4" s="2">
        <v>32</v>
      </c>
      <c r="Z4" s="6"/>
      <c r="AA4" s="14">
        <f>36+12</f>
        <v>48</v>
      </c>
      <c r="AB4" s="2">
        <f>36+26</f>
        <v>62</v>
      </c>
      <c r="AC4" s="2">
        <v>12</v>
      </c>
      <c r="AD4" s="2">
        <v>30</v>
      </c>
      <c r="AE4" s="6"/>
      <c r="AF4" s="14">
        <f>36+14</f>
        <v>50</v>
      </c>
      <c r="AG4" s="2">
        <f>36+31</f>
        <v>67</v>
      </c>
      <c r="AH4" s="2">
        <v>9</v>
      </c>
      <c r="AI4" s="2">
        <v>29</v>
      </c>
      <c r="AJ4" s="6"/>
      <c r="AK4" s="14">
        <f>36+10</f>
        <v>46</v>
      </c>
      <c r="AL4" s="2">
        <f>36+36</f>
        <v>72</v>
      </c>
      <c r="AM4" s="2">
        <v>3</v>
      </c>
      <c r="AN4" s="2">
        <v>36</v>
      </c>
      <c r="AO4" s="6"/>
      <c r="AP4" s="14">
        <f>36+18</f>
        <v>54</v>
      </c>
      <c r="AQ4" s="2">
        <f>36+29</f>
        <v>65</v>
      </c>
      <c r="AR4" s="2">
        <v>6</v>
      </c>
      <c r="AS4" s="2">
        <v>31</v>
      </c>
      <c r="AT4" s="6"/>
      <c r="AU4" s="14">
        <f>36+15</f>
        <v>51</v>
      </c>
      <c r="AV4" s="2">
        <f>36+21</f>
        <v>57</v>
      </c>
      <c r="AW4" s="2">
        <v>16</v>
      </c>
      <c r="AX4" s="2">
        <v>24</v>
      </c>
      <c r="AY4" s="6"/>
      <c r="AZ4" s="14">
        <f>36+11</f>
        <v>47</v>
      </c>
      <c r="BA4" s="2">
        <f>36+23</f>
        <v>59</v>
      </c>
      <c r="BB4" s="2">
        <v>10</v>
      </c>
      <c r="BC4" s="2">
        <v>19</v>
      </c>
      <c r="BD4" s="6"/>
      <c r="BE4" s="14">
        <f>36+16</f>
        <v>52</v>
      </c>
      <c r="BF4" s="2">
        <f>36+25</f>
        <v>61</v>
      </c>
      <c r="BG4" s="2">
        <v>13</v>
      </c>
      <c r="BH4" s="2">
        <v>26</v>
      </c>
      <c r="BI4" s="6"/>
      <c r="BJ4" s="14">
        <f>36+1</f>
        <v>37</v>
      </c>
      <c r="BK4" s="2">
        <f>36+32</f>
        <v>68</v>
      </c>
      <c r="BL4" s="2">
        <v>14</v>
      </c>
      <c r="BM4" s="2">
        <v>35</v>
      </c>
      <c r="BN4" s="6"/>
      <c r="BO4" s="14">
        <f>36+9</f>
        <v>45</v>
      </c>
      <c r="BP4" s="2">
        <f>36+34</f>
        <v>70</v>
      </c>
      <c r="BQ4" s="2">
        <v>17</v>
      </c>
      <c r="BR4" s="2">
        <v>33</v>
      </c>
      <c r="BS4" s="6"/>
      <c r="BT4" s="14">
        <f>36+5</f>
        <v>41</v>
      </c>
      <c r="BU4" s="2">
        <f>36+30</f>
        <v>66</v>
      </c>
      <c r="BV4" s="2">
        <v>11</v>
      </c>
      <c r="BW4" s="2">
        <v>28</v>
      </c>
      <c r="BX4" s="6"/>
      <c r="BY4" s="14">
        <f>36+8</f>
        <v>44</v>
      </c>
      <c r="BZ4" s="2">
        <f>36+28</f>
        <v>64</v>
      </c>
      <c r="CA4" s="2">
        <v>7</v>
      </c>
      <c r="CB4" s="2">
        <v>23</v>
      </c>
      <c r="CD4" s="14">
        <f>36+4</f>
        <v>40</v>
      </c>
      <c r="CE4" s="2">
        <f>36+33</f>
        <v>69</v>
      </c>
      <c r="CF4" s="2">
        <v>1</v>
      </c>
      <c r="CG4" s="2">
        <v>21</v>
      </c>
      <c r="CH4" s="6"/>
      <c r="CI4" s="14">
        <f>36+3</f>
        <v>39</v>
      </c>
      <c r="CJ4" s="2">
        <f>36+35</f>
        <v>71</v>
      </c>
      <c r="CK4" s="2">
        <v>4</v>
      </c>
      <c r="CL4" s="2">
        <v>25</v>
      </c>
    </row>
    <row r="5" spans="1:95" ht="15" x14ac:dyDescent="0.25">
      <c r="A5" s="5" t="s">
        <v>2</v>
      </c>
      <c r="B5" s="14">
        <v>25</v>
      </c>
      <c r="C5" s="2">
        <f>36+8</f>
        <v>44</v>
      </c>
      <c r="D5" s="2">
        <f>36+23</f>
        <v>59</v>
      </c>
      <c r="E5" s="2">
        <v>6</v>
      </c>
      <c r="F5" s="6"/>
      <c r="G5" s="14">
        <v>23</v>
      </c>
      <c r="H5" s="2">
        <f>36+4</f>
        <v>40</v>
      </c>
      <c r="I5" s="2">
        <f>36+25</f>
        <v>61</v>
      </c>
      <c r="J5" s="2">
        <v>9</v>
      </c>
      <c r="K5" s="6"/>
      <c r="L5" s="14">
        <v>21</v>
      </c>
      <c r="M5" s="2">
        <f>36+3</f>
        <v>39</v>
      </c>
      <c r="N5" s="2">
        <f>36+21</f>
        <v>57</v>
      </c>
      <c r="O5" s="2">
        <v>3</v>
      </c>
      <c r="P5" s="6"/>
      <c r="Q5" s="14">
        <v>28</v>
      </c>
      <c r="R5" s="2">
        <f>36+10</f>
        <v>46</v>
      </c>
      <c r="S5" s="2">
        <f>36+27</f>
        <v>63</v>
      </c>
      <c r="T5" s="2">
        <v>10</v>
      </c>
      <c r="U5" s="6"/>
      <c r="V5" s="14">
        <v>35</v>
      </c>
      <c r="W5" s="2">
        <f>36+18</f>
        <v>54</v>
      </c>
      <c r="X5" s="2">
        <f>36+20</f>
        <v>56</v>
      </c>
      <c r="Y5" s="2">
        <v>13</v>
      </c>
      <c r="Z5" s="6"/>
      <c r="AA5" s="14">
        <v>33</v>
      </c>
      <c r="AB5" s="2">
        <f>36+14</f>
        <v>50</v>
      </c>
      <c r="AC5" s="2">
        <f>36+22</f>
        <v>58</v>
      </c>
      <c r="AD5" s="2">
        <v>16</v>
      </c>
      <c r="AE5" s="6"/>
      <c r="AF5" s="14">
        <v>32</v>
      </c>
      <c r="AG5" s="2">
        <f>36+16</f>
        <v>52</v>
      </c>
      <c r="AH5" s="2">
        <f>36+30</f>
        <v>66</v>
      </c>
      <c r="AI5" s="2">
        <v>4</v>
      </c>
      <c r="AJ5" s="6"/>
      <c r="AK5" s="14">
        <v>30</v>
      </c>
      <c r="AL5" s="2">
        <f>36+15</f>
        <v>51</v>
      </c>
      <c r="AM5" s="2">
        <f>36+32</f>
        <v>68</v>
      </c>
      <c r="AN5" s="2">
        <v>7</v>
      </c>
      <c r="AO5" s="6"/>
      <c r="AP5" s="14">
        <v>34</v>
      </c>
      <c r="AQ5" s="2">
        <f>36+11</f>
        <v>47</v>
      </c>
      <c r="AR5" s="2">
        <f>36+34</f>
        <v>70</v>
      </c>
      <c r="AS5" s="2">
        <v>1</v>
      </c>
      <c r="AT5" s="6"/>
      <c r="AU5" s="14">
        <v>27</v>
      </c>
      <c r="AV5" s="2">
        <f>36+17</f>
        <v>53</v>
      </c>
      <c r="AW5" s="2">
        <f>36+26</f>
        <v>62</v>
      </c>
      <c r="AX5" s="2">
        <v>14</v>
      </c>
      <c r="AY5" s="6"/>
      <c r="AZ5" s="14">
        <v>22</v>
      </c>
      <c r="BA5" s="2">
        <f>36+13</f>
        <v>49</v>
      </c>
      <c r="BB5" s="2">
        <f>36+19</f>
        <v>55</v>
      </c>
      <c r="BC5" s="2">
        <v>17</v>
      </c>
      <c r="BD5" s="6"/>
      <c r="BE5" s="14">
        <v>20</v>
      </c>
      <c r="BF5" s="2">
        <f>36+12</f>
        <v>48</v>
      </c>
      <c r="BG5" s="2">
        <f>36+24</f>
        <v>60</v>
      </c>
      <c r="BH5" s="2">
        <v>11</v>
      </c>
      <c r="BI5" s="6"/>
      <c r="BJ5" s="14">
        <v>29</v>
      </c>
      <c r="BK5" s="2">
        <f>36+6</f>
        <v>42</v>
      </c>
      <c r="BL5" s="2">
        <f>36+28</f>
        <v>64</v>
      </c>
      <c r="BM5" s="2">
        <v>12</v>
      </c>
      <c r="BN5" s="6"/>
      <c r="BO5" s="14">
        <v>36</v>
      </c>
      <c r="BP5" s="2">
        <f>36+2</f>
        <v>38</v>
      </c>
      <c r="BQ5" s="2">
        <f>36+33</f>
        <v>69</v>
      </c>
      <c r="BR5" s="2">
        <v>15</v>
      </c>
      <c r="BS5" s="6"/>
      <c r="BT5" s="14">
        <v>31</v>
      </c>
      <c r="BU5" s="2">
        <f>36+7</f>
        <v>43</v>
      </c>
      <c r="BV5" s="2">
        <f>36+35</f>
        <v>71</v>
      </c>
      <c r="BW5" s="2">
        <v>18</v>
      </c>
      <c r="BY5" s="14">
        <v>26</v>
      </c>
      <c r="BZ5" s="2">
        <f>36+1</f>
        <v>37</v>
      </c>
      <c r="CA5" s="2">
        <f>36+36</f>
        <v>72</v>
      </c>
      <c r="CB5" s="2">
        <v>5</v>
      </c>
      <c r="CC5" s="6"/>
      <c r="CD5" s="14">
        <v>24</v>
      </c>
      <c r="CE5" s="2">
        <f>36+9</f>
        <v>45</v>
      </c>
      <c r="CF5" s="2">
        <f>36+29</f>
        <v>65</v>
      </c>
      <c r="CG5" s="2">
        <v>8</v>
      </c>
      <c r="CH5" s="6"/>
      <c r="CI5" s="14">
        <v>19</v>
      </c>
      <c r="CJ5" s="2">
        <f>36+5</f>
        <v>41</v>
      </c>
      <c r="CK5" s="2">
        <f>36+31</f>
        <v>67</v>
      </c>
      <c r="CL5" s="2">
        <v>2</v>
      </c>
    </row>
    <row r="6" spans="1:95" ht="15" x14ac:dyDescent="0.25">
      <c r="A6" s="5" t="s">
        <v>3</v>
      </c>
      <c r="B6" s="14">
        <f>36+29</f>
        <v>65</v>
      </c>
      <c r="C6" s="2">
        <v>5</v>
      </c>
      <c r="D6" s="2">
        <v>29</v>
      </c>
      <c r="E6" s="2">
        <f>36+15</f>
        <v>51</v>
      </c>
      <c r="F6" s="6"/>
      <c r="G6" s="14">
        <f>36+31</f>
        <v>67</v>
      </c>
      <c r="H6" s="2">
        <v>8</v>
      </c>
      <c r="I6" s="2">
        <v>36</v>
      </c>
      <c r="J6" s="2">
        <f>36+11</f>
        <v>47</v>
      </c>
      <c r="K6" s="6"/>
      <c r="L6" s="14">
        <f>36+36</f>
        <v>72</v>
      </c>
      <c r="M6" s="2">
        <v>2</v>
      </c>
      <c r="N6" s="2">
        <v>31</v>
      </c>
      <c r="O6" s="2">
        <f>36+16</f>
        <v>52</v>
      </c>
      <c r="P6" s="6"/>
      <c r="Q6" s="14">
        <f>36+22</f>
        <v>58</v>
      </c>
      <c r="R6" s="2">
        <v>4</v>
      </c>
      <c r="S6" s="2">
        <v>22</v>
      </c>
      <c r="T6" s="2">
        <f>36+4</f>
        <v>40</v>
      </c>
      <c r="U6" s="6"/>
      <c r="V6" s="14">
        <f>36+27</f>
        <v>63</v>
      </c>
      <c r="W6" s="2">
        <v>7</v>
      </c>
      <c r="X6" s="2">
        <v>20</v>
      </c>
      <c r="Y6" s="2">
        <f>36+3</f>
        <v>39</v>
      </c>
      <c r="Z6" s="6"/>
      <c r="AA6" s="14">
        <f>36+20</f>
        <v>56</v>
      </c>
      <c r="AB6" s="2">
        <v>1</v>
      </c>
      <c r="AC6" s="2">
        <v>27</v>
      </c>
      <c r="AD6" s="2">
        <f>36+8</f>
        <v>44</v>
      </c>
      <c r="AE6" s="6"/>
      <c r="AF6" s="14">
        <f>36+26</f>
        <v>62</v>
      </c>
      <c r="AG6" s="2">
        <v>11</v>
      </c>
      <c r="AH6" s="2">
        <v>34</v>
      </c>
      <c r="AI6" s="2">
        <f>36+18</f>
        <v>54</v>
      </c>
      <c r="AJ6" s="6"/>
      <c r="AK6" s="14">
        <f>36+19</f>
        <v>55</v>
      </c>
      <c r="AL6" s="2">
        <v>14</v>
      </c>
      <c r="AM6" s="2">
        <v>32</v>
      </c>
      <c r="AN6" s="2">
        <f>36+14</f>
        <v>50</v>
      </c>
      <c r="AO6" s="6"/>
      <c r="AP6" s="14">
        <f>36+24</f>
        <v>60</v>
      </c>
      <c r="AQ6" s="2">
        <v>17</v>
      </c>
      <c r="AR6" s="2">
        <v>30</v>
      </c>
      <c r="AS6" s="2">
        <f>36+10</f>
        <v>46</v>
      </c>
      <c r="AT6" s="6"/>
      <c r="AU6" s="14">
        <f>36+35</f>
        <v>71</v>
      </c>
      <c r="AV6" s="2">
        <v>6</v>
      </c>
      <c r="AW6" s="2">
        <v>23</v>
      </c>
      <c r="AX6" s="2">
        <f>36+9</f>
        <v>45</v>
      </c>
      <c r="AY6" s="6"/>
      <c r="AZ6" s="14">
        <f>36+28</f>
        <v>64</v>
      </c>
      <c r="BA6" s="2">
        <v>9</v>
      </c>
      <c r="BB6" s="2">
        <v>21</v>
      </c>
      <c r="BC6" s="2">
        <f>36+5</f>
        <v>41</v>
      </c>
      <c r="BD6" s="6"/>
      <c r="BE6" s="14">
        <f>36+33</f>
        <v>69</v>
      </c>
      <c r="BF6" s="2">
        <v>3</v>
      </c>
      <c r="BG6" s="2">
        <v>25</v>
      </c>
      <c r="BH6" s="2">
        <f>36+1</f>
        <v>37</v>
      </c>
      <c r="BI6" s="6"/>
      <c r="BJ6" s="14">
        <f>36+25</f>
        <v>61</v>
      </c>
      <c r="BK6" s="2">
        <v>15</v>
      </c>
      <c r="BL6" s="2">
        <v>24</v>
      </c>
      <c r="BM6" s="2">
        <f>36+13</f>
        <v>49</v>
      </c>
      <c r="BN6" s="6"/>
      <c r="BO6" s="14">
        <f>36+21</f>
        <v>57</v>
      </c>
      <c r="BP6" s="2">
        <v>18</v>
      </c>
      <c r="BQ6" s="2">
        <v>19</v>
      </c>
      <c r="BR6" s="2">
        <f>36+12</f>
        <v>48</v>
      </c>
      <c r="BS6" s="6"/>
      <c r="BT6" s="14">
        <f>36+23</f>
        <v>59</v>
      </c>
      <c r="BU6" s="2">
        <v>12</v>
      </c>
      <c r="BV6" s="2">
        <v>26</v>
      </c>
      <c r="BW6" s="2">
        <f>36+17</f>
        <v>53</v>
      </c>
      <c r="BX6" s="6"/>
      <c r="BY6" s="14">
        <f>36+30</f>
        <v>66</v>
      </c>
      <c r="BZ6" s="2">
        <v>10</v>
      </c>
      <c r="CA6" s="2">
        <v>35</v>
      </c>
      <c r="CB6" s="2">
        <f>36+2</f>
        <v>38</v>
      </c>
      <c r="CC6" s="6"/>
      <c r="CD6" s="14">
        <f>36+32</f>
        <v>68</v>
      </c>
      <c r="CE6" s="2">
        <v>13</v>
      </c>
      <c r="CF6" s="2">
        <v>33</v>
      </c>
      <c r="CG6" s="2">
        <f>36+7</f>
        <v>43</v>
      </c>
      <c r="CH6" s="6"/>
      <c r="CI6" s="14">
        <f>36+34</f>
        <v>70</v>
      </c>
      <c r="CJ6" s="2">
        <v>16</v>
      </c>
      <c r="CK6" s="2">
        <v>28</v>
      </c>
      <c r="CL6" s="2">
        <f>36+6</f>
        <v>42</v>
      </c>
    </row>
    <row r="7" spans="1:95" ht="15" x14ac:dyDescent="0.25">
      <c r="A7" s="5" t="s">
        <v>4</v>
      </c>
      <c r="B7" s="14">
        <v>3</v>
      </c>
      <c r="C7" s="2">
        <v>32</v>
      </c>
      <c r="D7" s="2">
        <f>36+17</f>
        <v>53</v>
      </c>
      <c r="E7" s="2">
        <f>36+34</f>
        <v>70</v>
      </c>
      <c r="F7" s="6"/>
      <c r="G7" s="14">
        <v>6</v>
      </c>
      <c r="H7" s="2">
        <v>30</v>
      </c>
      <c r="I7" s="2">
        <f>36+13</f>
        <v>49</v>
      </c>
      <c r="J7" s="2">
        <f>36+30</f>
        <v>66</v>
      </c>
      <c r="K7" s="6"/>
      <c r="L7" s="14">
        <v>9</v>
      </c>
      <c r="M7" s="2">
        <v>34</v>
      </c>
      <c r="N7" s="2">
        <f>36+12</f>
        <v>48</v>
      </c>
      <c r="O7" s="2">
        <f>36+32</f>
        <v>68</v>
      </c>
      <c r="P7" s="6"/>
      <c r="Q7" s="14">
        <v>2</v>
      </c>
      <c r="R7" s="2">
        <v>25</v>
      </c>
      <c r="S7" s="2">
        <f>36+9</f>
        <v>45</v>
      </c>
      <c r="T7" s="2">
        <f>36+21</f>
        <v>57</v>
      </c>
      <c r="U7" s="6"/>
      <c r="V7" s="14">
        <v>5</v>
      </c>
      <c r="W7" s="2">
        <v>23</v>
      </c>
      <c r="X7" s="2">
        <f>36+5</f>
        <v>41</v>
      </c>
      <c r="Y7" s="2">
        <f>36+23</f>
        <v>59</v>
      </c>
      <c r="Z7" s="6"/>
      <c r="AA7" s="14">
        <v>8</v>
      </c>
      <c r="AB7" s="2">
        <v>21</v>
      </c>
      <c r="AC7" s="2">
        <f>36+1</f>
        <v>37</v>
      </c>
      <c r="AD7" s="2">
        <f>36+25</f>
        <v>61</v>
      </c>
      <c r="AE7" s="6"/>
      <c r="AF7" s="14">
        <v>18</v>
      </c>
      <c r="AG7" s="2">
        <v>28</v>
      </c>
      <c r="AH7" s="2">
        <f>36+11</f>
        <v>47</v>
      </c>
      <c r="AI7" s="2">
        <f>36+22</f>
        <v>58</v>
      </c>
      <c r="AJ7" s="6"/>
      <c r="AK7" s="14">
        <v>12</v>
      </c>
      <c r="AL7" s="2">
        <v>35</v>
      </c>
      <c r="AM7" s="2">
        <f>36+16</f>
        <v>52</v>
      </c>
      <c r="AN7" s="2">
        <f>36+27</f>
        <v>63</v>
      </c>
      <c r="AO7" s="6"/>
      <c r="AP7" s="14">
        <v>15</v>
      </c>
      <c r="AQ7" s="2">
        <v>33</v>
      </c>
      <c r="AR7" s="2">
        <f>36+15</f>
        <v>51</v>
      </c>
      <c r="AS7" s="2">
        <f>36+20</f>
        <v>56</v>
      </c>
      <c r="AT7" s="6"/>
      <c r="AU7" s="14">
        <v>1</v>
      </c>
      <c r="AV7" s="2">
        <v>26</v>
      </c>
      <c r="AW7" s="2">
        <f>36+2</f>
        <v>38</v>
      </c>
      <c r="AX7" s="2">
        <f>36+31</f>
        <v>67</v>
      </c>
      <c r="AY7" s="6"/>
      <c r="AZ7" s="14">
        <v>4</v>
      </c>
      <c r="BA7" s="2">
        <v>24</v>
      </c>
      <c r="BB7" s="2">
        <f>36+7</f>
        <v>43</v>
      </c>
      <c r="BC7" s="2">
        <f>36+36</f>
        <v>72</v>
      </c>
      <c r="BD7" s="6"/>
      <c r="BE7" s="14">
        <v>7</v>
      </c>
      <c r="BF7" s="2">
        <v>19</v>
      </c>
      <c r="BG7" s="2">
        <f>36+6</f>
        <v>42</v>
      </c>
      <c r="BH7" s="2">
        <f>36+29</f>
        <v>65</v>
      </c>
      <c r="BI7" s="6"/>
      <c r="BJ7" s="14">
        <v>10</v>
      </c>
      <c r="BK7" s="2">
        <v>27</v>
      </c>
      <c r="BL7" s="2">
        <f>36+18</f>
        <v>54</v>
      </c>
      <c r="BM7" s="2">
        <f>36+24</f>
        <v>60</v>
      </c>
      <c r="BN7" s="6"/>
      <c r="BO7" s="14">
        <v>13</v>
      </c>
      <c r="BP7" s="2">
        <v>22</v>
      </c>
      <c r="BQ7" s="2">
        <f>36+14</f>
        <v>50</v>
      </c>
      <c r="BR7" s="2">
        <f>36+26</f>
        <v>62</v>
      </c>
      <c r="BS7" s="6"/>
      <c r="BT7" s="14">
        <v>16</v>
      </c>
      <c r="BU7" s="2">
        <v>20</v>
      </c>
      <c r="BV7" s="2">
        <f>36+10</f>
        <v>46</v>
      </c>
      <c r="BW7" s="2">
        <f>36+19</f>
        <v>55</v>
      </c>
      <c r="BX7" s="6"/>
      <c r="BY7" s="14">
        <v>17</v>
      </c>
      <c r="BZ7" s="2">
        <v>29</v>
      </c>
      <c r="CA7" s="2">
        <f>36+4</f>
        <v>40</v>
      </c>
      <c r="CB7" s="2">
        <f>36+35</f>
        <v>71</v>
      </c>
      <c r="CC7" s="6"/>
      <c r="CD7" s="14">
        <v>11</v>
      </c>
      <c r="CE7" s="2">
        <v>36</v>
      </c>
      <c r="CF7" s="2">
        <f>36+3</f>
        <v>39</v>
      </c>
      <c r="CG7" s="2">
        <f>36+28</f>
        <v>64</v>
      </c>
      <c r="CH7" s="6"/>
      <c r="CI7" s="14">
        <v>14</v>
      </c>
      <c r="CJ7" s="2">
        <v>31</v>
      </c>
      <c r="CK7" s="2">
        <f>36+8</f>
        <v>44</v>
      </c>
      <c r="CL7" s="2">
        <f>36+33</f>
        <v>69</v>
      </c>
    </row>
    <row r="8" spans="1:95" ht="15" x14ac:dyDescent="0.25">
      <c r="A8" s="5" t="s">
        <v>5</v>
      </c>
      <c r="B8" s="14">
        <f>36+10</f>
        <v>46</v>
      </c>
      <c r="C8" s="2">
        <f>36+33</f>
        <v>69</v>
      </c>
      <c r="D8" s="2">
        <v>7</v>
      </c>
      <c r="E8" s="2">
        <v>35</v>
      </c>
      <c r="F8" s="6"/>
      <c r="G8" s="14">
        <f>36+18</f>
        <v>54</v>
      </c>
      <c r="H8" s="2">
        <f>36+35</f>
        <v>71</v>
      </c>
      <c r="I8" s="2">
        <v>1</v>
      </c>
      <c r="J8" s="2">
        <v>33</v>
      </c>
      <c r="K8" s="6"/>
      <c r="L8" s="14">
        <f>36+14</f>
        <v>50</v>
      </c>
      <c r="M8" s="2">
        <f>36+28</f>
        <v>64</v>
      </c>
      <c r="N8" s="2">
        <v>4</v>
      </c>
      <c r="O8" s="2">
        <v>28</v>
      </c>
      <c r="P8" s="6"/>
      <c r="Q8" s="14">
        <f>36+2</f>
        <v>38</v>
      </c>
      <c r="R8" s="2">
        <f>36+26</f>
        <v>62</v>
      </c>
      <c r="S8" s="2">
        <v>9</v>
      </c>
      <c r="T8" s="2">
        <v>19</v>
      </c>
      <c r="U8" s="6"/>
      <c r="V8" s="14">
        <f>36+7</f>
        <v>43</v>
      </c>
      <c r="W8" s="2">
        <f>36+19</f>
        <v>55</v>
      </c>
      <c r="X8" s="2">
        <v>3</v>
      </c>
      <c r="Y8" s="2">
        <v>26</v>
      </c>
      <c r="Z8" s="6"/>
      <c r="AA8" s="14">
        <f>36+6</f>
        <v>42</v>
      </c>
      <c r="AB8" s="2">
        <f>36+24</f>
        <v>60</v>
      </c>
      <c r="AC8" s="2">
        <v>6</v>
      </c>
      <c r="AD8" s="2">
        <v>24</v>
      </c>
      <c r="AE8" s="6"/>
      <c r="AF8" s="14">
        <f>36+13</f>
        <v>49</v>
      </c>
      <c r="AG8" s="2">
        <f>36+21</f>
        <v>57</v>
      </c>
      <c r="AH8" s="2">
        <v>13</v>
      </c>
      <c r="AI8" s="2">
        <v>31</v>
      </c>
      <c r="AJ8" s="6"/>
      <c r="AK8" s="14">
        <f>36+12</f>
        <v>48</v>
      </c>
      <c r="AL8" s="2">
        <f>36+23</f>
        <v>59</v>
      </c>
      <c r="AM8" s="2">
        <v>16</v>
      </c>
      <c r="AN8" s="2">
        <v>29</v>
      </c>
      <c r="AO8" s="6"/>
      <c r="AP8" s="14">
        <f>36+17</f>
        <v>53</v>
      </c>
      <c r="AQ8" s="2">
        <f>36+25</f>
        <v>61</v>
      </c>
      <c r="AR8" s="2">
        <v>10</v>
      </c>
      <c r="AS8" s="2">
        <v>36</v>
      </c>
      <c r="AT8" s="6"/>
      <c r="AU8" s="14">
        <f>36+4</f>
        <v>40</v>
      </c>
      <c r="AV8" s="2">
        <f>36+30</f>
        <v>66</v>
      </c>
      <c r="AW8" s="2">
        <v>8</v>
      </c>
      <c r="AX8" s="2">
        <v>20</v>
      </c>
      <c r="AY8" s="6"/>
      <c r="AZ8" s="14">
        <f>36+3</f>
        <v>39</v>
      </c>
      <c r="BA8" s="2">
        <f>36+32</f>
        <v>68</v>
      </c>
      <c r="BB8" s="2">
        <v>2</v>
      </c>
      <c r="BC8" s="2">
        <v>27</v>
      </c>
      <c r="BD8" s="6"/>
      <c r="BE8" s="14">
        <f>36+8</f>
        <v>44</v>
      </c>
      <c r="BF8" s="2">
        <f>36+34</f>
        <v>70</v>
      </c>
      <c r="BG8" s="2">
        <v>5</v>
      </c>
      <c r="BH8" s="2">
        <v>22</v>
      </c>
      <c r="BI8" s="6"/>
      <c r="BJ8" s="14">
        <f>36+11</f>
        <v>47</v>
      </c>
      <c r="BK8" s="2">
        <f>36+20</f>
        <v>56</v>
      </c>
      <c r="BL8" s="2">
        <v>17</v>
      </c>
      <c r="BM8" s="2">
        <v>21</v>
      </c>
      <c r="BN8" s="6"/>
      <c r="BO8" s="14">
        <f>36+16</f>
        <v>52</v>
      </c>
      <c r="BP8" s="2">
        <f>36+22</f>
        <v>58</v>
      </c>
      <c r="BQ8" s="2">
        <v>11</v>
      </c>
      <c r="BR8" s="2">
        <v>25</v>
      </c>
      <c r="BS8" s="6"/>
      <c r="BT8" s="14">
        <f>36+15</f>
        <v>51</v>
      </c>
      <c r="BU8" s="2">
        <f>36+27</f>
        <v>63</v>
      </c>
      <c r="BV8" s="2">
        <v>14</v>
      </c>
      <c r="BW8" s="2">
        <v>23</v>
      </c>
      <c r="BX8" s="6"/>
      <c r="BY8" s="14">
        <f>36+9</f>
        <v>45</v>
      </c>
      <c r="BZ8" s="2">
        <f>36+31</f>
        <v>67</v>
      </c>
      <c r="CA8" s="2">
        <v>15</v>
      </c>
      <c r="CB8" s="2">
        <v>32</v>
      </c>
      <c r="CC8" s="6"/>
      <c r="CD8" s="14">
        <f>36+5</f>
        <v>41</v>
      </c>
      <c r="CE8" s="2">
        <f>36+36</f>
        <v>72</v>
      </c>
      <c r="CF8" s="2">
        <v>18</v>
      </c>
      <c r="CG8" s="2">
        <v>30</v>
      </c>
      <c r="CH8" s="6"/>
      <c r="CI8" s="14">
        <f>36+1</f>
        <v>37</v>
      </c>
      <c r="CJ8" s="2">
        <f>36+29</f>
        <v>65</v>
      </c>
      <c r="CK8" s="2">
        <v>12</v>
      </c>
      <c r="CL8" s="2">
        <v>34</v>
      </c>
    </row>
    <row r="9" spans="1:95" ht="15" x14ac:dyDescent="0.25">
      <c r="A9" s="5" t="s">
        <v>6</v>
      </c>
      <c r="B9" s="14">
        <v>28</v>
      </c>
      <c r="C9" s="2">
        <f>36+12</f>
        <v>48</v>
      </c>
      <c r="D9" s="2">
        <f>36+20</f>
        <v>56</v>
      </c>
      <c r="E9" s="2">
        <v>14</v>
      </c>
      <c r="F9" s="6"/>
      <c r="G9" s="14">
        <v>35</v>
      </c>
      <c r="H9" s="2">
        <f>36+17</f>
        <v>53</v>
      </c>
      <c r="I9" s="2">
        <f>36+22</f>
        <v>58</v>
      </c>
      <c r="J9" s="2">
        <v>17</v>
      </c>
      <c r="K9" s="6"/>
      <c r="L9" s="14">
        <v>33</v>
      </c>
      <c r="M9" s="2">
        <f>36+13</f>
        <v>49</v>
      </c>
      <c r="N9" s="2">
        <f>36+27</f>
        <v>63</v>
      </c>
      <c r="O9" s="2">
        <v>11</v>
      </c>
      <c r="P9" s="6"/>
      <c r="Q9" s="14">
        <v>32</v>
      </c>
      <c r="R9" s="2">
        <f>36+18</f>
        <v>54</v>
      </c>
      <c r="S9" s="2">
        <f>36+32</f>
        <v>68</v>
      </c>
      <c r="T9" s="2">
        <v>8</v>
      </c>
      <c r="U9" s="6"/>
      <c r="V9" s="14">
        <v>30</v>
      </c>
      <c r="W9" s="2">
        <f>36+14</f>
        <v>50</v>
      </c>
      <c r="X9" s="2">
        <f>36+34</f>
        <v>70</v>
      </c>
      <c r="Y9" s="2">
        <v>2</v>
      </c>
      <c r="Z9" s="6"/>
      <c r="AA9" s="14">
        <v>34</v>
      </c>
      <c r="AB9" s="2">
        <f>36+10</f>
        <v>46</v>
      </c>
      <c r="AC9" s="2">
        <f>36+30</f>
        <v>66</v>
      </c>
      <c r="AD9" s="2">
        <v>5</v>
      </c>
      <c r="AE9" s="6"/>
      <c r="AF9" s="14">
        <v>25</v>
      </c>
      <c r="AG9" s="2">
        <f>36+7</f>
        <v>43</v>
      </c>
      <c r="AH9" s="2">
        <f>36+25</f>
        <v>61</v>
      </c>
      <c r="AI9" s="2">
        <v>7</v>
      </c>
      <c r="AJ9" s="6"/>
      <c r="AK9" s="14">
        <v>23</v>
      </c>
      <c r="AL9" s="2">
        <f>36+6</f>
        <v>42</v>
      </c>
      <c r="AM9" s="2">
        <f>36+21</f>
        <v>57</v>
      </c>
      <c r="AN9" s="2">
        <v>1</v>
      </c>
      <c r="AO9" s="6"/>
      <c r="AP9" s="14">
        <v>21</v>
      </c>
      <c r="AQ9" s="2">
        <f>36+2</f>
        <v>38</v>
      </c>
      <c r="AR9" s="2">
        <f>36+23</f>
        <v>59</v>
      </c>
      <c r="AS9" s="2">
        <v>4</v>
      </c>
      <c r="AT9" s="6"/>
      <c r="AU9" s="14">
        <v>29</v>
      </c>
      <c r="AV9" s="2">
        <f>36+5</f>
        <v>41</v>
      </c>
      <c r="AW9" s="2">
        <f>36+33</f>
        <v>69</v>
      </c>
      <c r="AX9" s="2">
        <v>13</v>
      </c>
      <c r="AY9" s="6"/>
      <c r="AZ9" s="14">
        <v>36</v>
      </c>
      <c r="BA9" s="2">
        <f>36+1</f>
        <v>37</v>
      </c>
      <c r="BB9" s="2">
        <f>36+35</f>
        <v>71</v>
      </c>
      <c r="BC9" s="2">
        <v>16</v>
      </c>
      <c r="BD9" s="6"/>
      <c r="BE9" s="14">
        <v>31</v>
      </c>
      <c r="BF9" s="2">
        <f>36+9</f>
        <v>45</v>
      </c>
      <c r="BG9" s="2">
        <f>36+28</f>
        <v>64</v>
      </c>
      <c r="BH9" s="2">
        <v>10</v>
      </c>
      <c r="BI9" s="6"/>
      <c r="BJ9" s="14">
        <v>26</v>
      </c>
      <c r="BK9" s="2">
        <f>36+3</f>
        <v>39</v>
      </c>
      <c r="BL9" s="2">
        <f>36+29</f>
        <v>65</v>
      </c>
      <c r="BM9" s="2">
        <v>9</v>
      </c>
      <c r="BN9" s="6"/>
      <c r="BO9" s="14">
        <v>24</v>
      </c>
      <c r="BP9" s="2">
        <f>36+8</f>
        <v>44</v>
      </c>
      <c r="BQ9" s="2">
        <f>36+31</f>
        <v>67</v>
      </c>
      <c r="BR9" s="2">
        <v>3</v>
      </c>
      <c r="BS9" s="6"/>
      <c r="BT9" s="14">
        <v>19</v>
      </c>
      <c r="BU9" s="2">
        <f>36+4</f>
        <v>40</v>
      </c>
      <c r="BV9" s="2">
        <f>36+36</f>
        <v>72</v>
      </c>
      <c r="BW9" s="2">
        <v>6</v>
      </c>
      <c r="BX9" s="6"/>
      <c r="BY9" s="14">
        <v>27</v>
      </c>
      <c r="BZ9" s="2">
        <f>36+16</f>
        <v>52</v>
      </c>
      <c r="CA9" s="2">
        <f>36+19</f>
        <v>55</v>
      </c>
      <c r="CB9" s="2">
        <v>18</v>
      </c>
      <c r="CC9" s="6"/>
      <c r="CD9" s="14">
        <v>22</v>
      </c>
      <c r="CE9" s="2">
        <f>36+15</f>
        <v>51</v>
      </c>
      <c r="CF9" s="2">
        <f>36+24</f>
        <v>60</v>
      </c>
      <c r="CG9" s="2">
        <v>12</v>
      </c>
      <c r="CH9" s="6"/>
      <c r="CI9" s="14">
        <v>20</v>
      </c>
      <c r="CJ9" s="2">
        <f>36+11</f>
        <v>47</v>
      </c>
      <c r="CK9" s="2">
        <f>36+26</f>
        <v>62</v>
      </c>
      <c r="CL9" s="2">
        <v>15</v>
      </c>
    </row>
    <row r="10" spans="1:95" ht="15" x14ac:dyDescent="0.2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</row>
    <row r="11" spans="1:95" ht="15" x14ac:dyDescent="0.2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</row>
    <row r="12" spans="1:95" ht="15" x14ac:dyDescent="0.2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N12" s="15"/>
      <c r="CO12" s="15"/>
      <c r="CP12" s="15"/>
      <c r="CQ12" s="15"/>
    </row>
    <row r="13" spans="1:95" ht="15" x14ac:dyDescent="0.25">
      <c r="A13" s="1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</row>
    <row r="14" spans="1:95" ht="15" x14ac:dyDescent="0.25">
      <c r="A14" s="1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</row>
    <row r="15" spans="1:95" ht="15" x14ac:dyDescent="0.25">
      <c r="A15" s="1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</row>
    <row r="16" spans="1:95" ht="15" x14ac:dyDescent="0.25">
      <c r="A16" s="1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</row>
    <row r="17" spans="1:95" ht="15" x14ac:dyDescent="0.25">
      <c r="A17" s="1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</row>
    <row r="18" spans="1:95" ht="15" x14ac:dyDescent="0.25">
      <c r="A18" s="1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</row>
    <row r="19" spans="1:95" ht="15" x14ac:dyDescent="0.25">
      <c r="A19" s="1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</row>
    <row r="20" spans="1:95" ht="15" x14ac:dyDescent="0.25">
      <c r="A20" s="1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</row>
    <row r="21" spans="1:95" ht="15" x14ac:dyDescent="0.25">
      <c r="A21" s="1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</row>
    <row r="22" spans="1:95" ht="15" x14ac:dyDescent="0.25">
      <c r="A22" s="1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</row>
    <row r="23" spans="1:95" ht="15" x14ac:dyDescent="0.25">
      <c r="A23" s="1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</row>
    <row r="24" spans="1:95" ht="15" x14ac:dyDescent="0.25">
      <c r="A24" s="1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</row>
    <row r="25" spans="1:95" ht="15" x14ac:dyDescent="0.25">
      <c r="A25" s="1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</row>
    <row r="26" spans="1:95" ht="15" x14ac:dyDescent="0.25">
      <c r="A26" s="1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</row>
    <row r="27" spans="1:95" ht="15" x14ac:dyDescent="0.25">
      <c r="A27" s="1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</row>
    <row r="28" spans="1:95" ht="15" x14ac:dyDescent="0.25">
      <c r="A28" s="1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</row>
    <row r="29" spans="1:95" ht="15" x14ac:dyDescent="0.25">
      <c r="A29" s="1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</row>
    <row r="30" spans="1:95" ht="15" x14ac:dyDescent="0.25">
      <c r="A30" s="1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</row>
    <row r="31" spans="1:95" ht="15" x14ac:dyDescent="0.25">
      <c r="A31" s="1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</row>
    <row r="32" spans="1:95" ht="15" x14ac:dyDescent="0.25">
      <c r="A32" s="1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</row>
    <row r="33" spans="1:95" ht="15" x14ac:dyDescent="0.25">
      <c r="A33" s="1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</row>
    <row r="34" spans="1:95" ht="15" x14ac:dyDescent="0.25">
      <c r="A34" s="1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</row>
    <row r="35" spans="1:95" ht="15" x14ac:dyDescent="0.25">
      <c r="A35" s="1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</row>
    <row r="36" spans="1:95" ht="15" x14ac:dyDescent="0.25">
      <c r="A36" s="1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</row>
    <row r="37" spans="1:95" ht="15" x14ac:dyDescent="0.25">
      <c r="A37" s="1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</row>
    <row r="38" spans="1:95" ht="15" x14ac:dyDescent="0.25">
      <c r="A38" s="1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</row>
    <row r="39" spans="1:95" ht="15" x14ac:dyDescent="0.25">
      <c r="A39" s="1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</row>
    <row r="40" spans="1:95" ht="15" x14ac:dyDescent="0.25">
      <c r="A40" s="1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</row>
    <row r="41" spans="1:95" ht="15" x14ac:dyDescent="0.25">
      <c r="A41" s="1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</row>
    <row r="42" spans="1:95" ht="15" x14ac:dyDescent="0.25">
      <c r="A42" s="1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</row>
    <row r="43" spans="1:95" ht="15" x14ac:dyDescent="0.25">
      <c r="A43" s="1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</row>
    <row r="44" spans="1:95" ht="15" x14ac:dyDescent="0.25">
      <c r="A44" s="1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</row>
    <row r="45" spans="1:95" ht="15" x14ac:dyDescent="0.25">
      <c r="A45" s="1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</row>
    <row r="46" spans="1:95" ht="15" x14ac:dyDescent="0.25">
      <c r="A46" s="1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</row>
    <row r="47" spans="1:95" ht="15" x14ac:dyDescent="0.25">
      <c r="A47" s="1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</row>
    <row r="48" spans="1:95" ht="15" x14ac:dyDescent="0.25">
      <c r="A48" s="1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</row>
    <row r="49" spans="1:95" ht="15" x14ac:dyDescent="0.25">
      <c r="A49" s="1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</row>
    <row r="50" spans="1:95" ht="15" x14ac:dyDescent="0.25">
      <c r="A50" s="1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</row>
    <row r="51" spans="1:95" ht="15" x14ac:dyDescent="0.25">
      <c r="A51" s="1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</row>
    <row r="52" spans="1:95" ht="15" x14ac:dyDescent="0.25">
      <c r="A52" s="1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</row>
    <row r="53" spans="1:95" ht="15" x14ac:dyDescent="0.25">
      <c r="A53" s="1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</row>
    <row r="54" spans="1:95" ht="15" x14ac:dyDescent="0.25">
      <c r="A54" s="1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</row>
    <row r="55" spans="1:95" ht="15" x14ac:dyDescent="0.25">
      <c r="A55" s="1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</row>
    <row r="56" spans="1:95" ht="15" x14ac:dyDescent="0.25">
      <c r="A56" s="1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</row>
    <row r="57" spans="1:95" ht="15" x14ac:dyDescent="0.25">
      <c r="A57" s="1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</row>
    <row r="58" spans="1:95" ht="15" x14ac:dyDescent="0.25">
      <c r="A58" s="1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</row>
    <row r="59" spans="1:95" ht="15" x14ac:dyDescent="0.25">
      <c r="A59" s="1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</row>
    <row r="60" spans="1:95" ht="15" x14ac:dyDescent="0.25">
      <c r="A60" s="1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</row>
    <row r="61" spans="1:95" ht="15" x14ac:dyDescent="0.25">
      <c r="A61" s="1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</row>
    <row r="62" spans="1:95" ht="15" x14ac:dyDescent="0.25">
      <c r="A62" s="1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</row>
    <row r="63" spans="1:95" ht="15" x14ac:dyDescent="0.25">
      <c r="A63" s="1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</row>
    <row r="64" spans="1:95" ht="15" x14ac:dyDescent="0.25">
      <c r="A64" s="1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</row>
    <row r="65" spans="1:95" ht="15" x14ac:dyDescent="0.25">
      <c r="A65" s="1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</row>
    <row r="66" spans="1:95" ht="15" x14ac:dyDescent="0.25">
      <c r="A66" s="1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</row>
    <row r="67" spans="1:95" ht="15" x14ac:dyDescent="0.25">
      <c r="A67" s="1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</row>
    <row r="68" spans="1:95" ht="15" x14ac:dyDescent="0.25">
      <c r="A68" s="1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</row>
    <row r="69" spans="1:95" ht="15" x14ac:dyDescent="0.25">
      <c r="A69" s="1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</row>
    <row r="70" spans="1:95" ht="15" x14ac:dyDescent="0.25">
      <c r="A70" s="1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</row>
    <row r="71" spans="1:95" ht="15" x14ac:dyDescent="0.25">
      <c r="A71" s="1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</row>
    <row r="72" spans="1:95" ht="15" x14ac:dyDescent="0.25">
      <c r="A72" s="1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</row>
    <row r="73" spans="1:95" ht="15" x14ac:dyDescent="0.25">
      <c r="A73" s="1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</row>
    <row r="74" spans="1:95" ht="15" x14ac:dyDescent="0.25">
      <c r="A74" s="1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</row>
    <row r="75" spans="1:95" ht="15" x14ac:dyDescent="0.25">
      <c r="A75" s="1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</row>
    <row r="76" spans="1:95" ht="15" x14ac:dyDescent="0.25">
      <c r="A76" s="1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</row>
    <row r="77" spans="1:95" ht="15" x14ac:dyDescent="0.25">
      <c r="A77" s="1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</row>
    <row r="78" spans="1:95" ht="15" x14ac:dyDescent="0.25">
      <c r="A78" s="1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</row>
    <row r="79" spans="1:95" ht="15" x14ac:dyDescent="0.25">
      <c r="A79" s="1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</row>
    <row r="80" spans="1:95" ht="15" x14ac:dyDescent="0.25">
      <c r="A80" s="1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</row>
    <row r="81" spans="1:95" ht="15" x14ac:dyDescent="0.25">
      <c r="A81" s="1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</row>
    <row r="82" spans="1:95" ht="15" x14ac:dyDescent="0.25">
      <c r="A82" s="1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</row>
    <row r="83" spans="1:95" ht="15" x14ac:dyDescent="0.25">
      <c r="A83" s="1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</row>
    <row r="84" spans="1:95" ht="15" x14ac:dyDescent="0.25">
      <c r="A84" s="1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</row>
  </sheetData>
  <mergeCells count="18">
    <mergeCell ref="BY1:CB1"/>
    <mergeCell ref="CD1:CG1"/>
    <mergeCell ref="CI1:CL1"/>
    <mergeCell ref="AZ1:BC1"/>
    <mergeCell ref="BE1:BH1"/>
    <mergeCell ref="BJ1:BM1"/>
    <mergeCell ref="BO1:BR1"/>
    <mergeCell ref="BT1:BW1"/>
    <mergeCell ref="AA1:AD1"/>
    <mergeCell ref="AF1:AI1"/>
    <mergeCell ref="AK1:AN1"/>
    <mergeCell ref="AP1:AS1"/>
    <mergeCell ref="AU1:AX1"/>
    <mergeCell ref="B1:E1"/>
    <mergeCell ref="G1:J1"/>
    <mergeCell ref="L1:O1"/>
    <mergeCell ref="Q1:T1"/>
    <mergeCell ref="V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15</vt:i4>
      </vt:variant>
    </vt:vector>
  </HeadingPairs>
  <TitlesOfParts>
    <vt:vector size="15" baseType="lpstr">
      <vt:lpstr>16 players</vt:lpstr>
      <vt:lpstr>20 players</vt:lpstr>
      <vt:lpstr>24 players</vt:lpstr>
      <vt:lpstr>28 players</vt:lpstr>
      <vt:lpstr>32 players</vt:lpstr>
      <vt:lpstr>36 players</vt:lpstr>
      <vt:lpstr>40 players</vt:lpstr>
      <vt:lpstr>44 players</vt:lpstr>
      <vt:lpstr>48 players</vt:lpstr>
      <vt:lpstr>52 players</vt:lpstr>
      <vt:lpstr>56 players</vt:lpstr>
      <vt:lpstr>60 players</vt:lpstr>
      <vt:lpstr>64 players</vt:lpstr>
      <vt:lpstr>68 players</vt:lpstr>
      <vt:lpstr>72 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2017-02-24T15:10:14Z</dcterms:modified>
</cp:coreProperties>
</file>